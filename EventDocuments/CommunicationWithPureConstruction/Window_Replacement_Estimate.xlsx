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billlu/Projects/FarmersInsurance-github/EventDocuments/CommunicationWithPureConstruction/"/>
    </mc:Choice>
  </mc:AlternateContent>
  <xr:revisionPtr revIDLastSave="0" documentId="13_ncr:1_{DA31BA12-3433-8C4A-968F-5DA4E26B6B28}" xr6:coauthVersionLast="47" xr6:coauthVersionMax="47" xr10:uidLastSave="{00000000-0000-0000-0000-000000000000}"/>
  <bookViews>
    <workbookView xWindow="37940" yWindow="2040" windowWidth="31720" windowHeight="19800" tabRatio="500" xr2:uid="{00000000-000D-0000-FFFF-FFFF00000000}"/>
  </bookViews>
  <sheets>
    <sheet name="Window Estimate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21" i="1" l="1"/>
  <c r="F45" i="1"/>
  <c r="F44" i="1"/>
  <c r="F43" i="1"/>
  <c r="F42" i="1"/>
  <c r="F51" i="1" s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0" i="1"/>
  <c r="F19" i="1"/>
  <c r="F18" i="1"/>
  <c r="F16" i="1"/>
  <c r="F15" i="1"/>
  <c r="F14" i="1"/>
  <c r="F13" i="1"/>
  <c r="F12" i="1"/>
  <c r="F11" i="1"/>
  <c r="F10" i="1"/>
  <c r="F9" i="1"/>
  <c r="F8" i="1"/>
  <c r="F52" i="1" l="1"/>
  <c r="F49" i="1"/>
  <c r="F50" i="1" s="1"/>
  <c r="H52" i="1" l="1"/>
  <c r="H53" i="1"/>
  <c r="H54" i="1" s="1"/>
</calcChain>
</file>

<file path=xl/sharedStrings.xml><?xml version="1.0" encoding="utf-8"?>
<sst xmlns="http://schemas.openxmlformats.org/spreadsheetml/2006/main" count="201" uniqueCount="131">
  <si>
    <t>Pella Window &amp; Door Replacement Estimate</t>
  </si>
  <si>
    <t>Project: 17756 George Moran Drive, EP - Lu Bill</t>
  </si>
  <si>
    <t>Vendor: PURE Construction (Pella Window &amp; Door Showroom of Plymouth, MN)</t>
  </si>
  <si>
    <t>Quote #: 19678463    |    Quoted Date: 6/26/2025    |    Printed: 7/1/2025</t>
  </si>
  <si>
    <t>Scope: RESERVE TRADITIONAL - WHITE / GOLDEN OAK - FULL FRAME INSTALL</t>
  </si>
  <si>
    <t>Line #</t>
  </si>
  <si>
    <t>Location</t>
  </si>
  <si>
    <t>Item Description</t>
  </si>
  <si>
    <t>Qty</t>
  </si>
  <si>
    <t>Item Price</t>
  </si>
  <si>
    <t>Ext'd Price</t>
  </si>
  <si>
    <t>Pella Reserve, Traditional Casement Left, 26 X 40, White</t>
  </si>
  <si>
    <t>Pella Reserve, Traditional 3-Wide Casement, 72 X 52, White (Egress access required)</t>
  </si>
  <si>
    <t>Foyer W 363-365</t>
  </si>
  <si>
    <t>Architect Reserve, Traditional, Direct Set Fixed Frame Rectangle + Springline + Rectangle, 62 X 45, White</t>
  </si>
  <si>
    <t>Living W 218-223</t>
  </si>
  <si>
    <t>Pella Reserve, Traditional 3-Wide Casement + 3-Wide Sash Set, 72 X 70, White</t>
  </si>
  <si>
    <t>Dining 215-217</t>
  </si>
  <si>
    <t>Pella Reserve, Traditional Sash Set, Fixed, 18 X 26, White</t>
  </si>
  <si>
    <t>Pella Reserve, Traditional Casement Left, 22 X 58, White</t>
  </si>
  <si>
    <t>Pella Reserve, Traditional 3-Wide Casement, 72 X 58, White (Egress access required)</t>
  </si>
  <si>
    <t>Family W 234</t>
  </si>
  <si>
    <t>Pella Reserve, Traditional Casement Right, 22 X 58, White</t>
  </si>
  <si>
    <t>Pella Reserve, Traditional Casement Left, 22 X 60, White</t>
  </si>
  <si>
    <t>Pella Reserve, Traditional Sash Set, Fixed, 54 X 60, White</t>
  </si>
  <si>
    <t>Pella Reserve, Traditional Casement Right, 22 X 60, White</t>
  </si>
  <si>
    <t>Lifestyle, Double Sliding Door, Contemporary, Vent Right / Fixed, 61 X 81, Without HGP, White</t>
  </si>
  <si>
    <t>Pella Reserve, Traditional Direct Set, Fixed Frame, 72 X 64, White</t>
  </si>
  <si>
    <t>Porch W 243, 244</t>
  </si>
  <si>
    <t>Pella Reserve, Traditional 2-Wide Casement, 48 X 64, White</t>
  </si>
  <si>
    <t>Porch W 245, 246</t>
  </si>
  <si>
    <t>Pella Reserve, Traditional Casement Right, 34 X 48, White</t>
  </si>
  <si>
    <t>Pella Reserve, Traditional Sash Set, Fixed, 34 X 48, White</t>
  </si>
  <si>
    <t>Office W 251-253</t>
  </si>
  <si>
    <t>Pella Reserve, Traditional 3-Wide Casement, 72 X 52, White</t>
  </si>
  <si>
    <t>Pella Reserve, Traditional 2-Wide Casement, 48 X 48, White</t>
  </si>
  <si>
    <t>Pella Reserve, Traditional 3-Wide Casement, 78 X 52, White</t>
  </si>
  <si>
    <t>Installation Labor</t>
  </si>
  <si>
    <t>Labor for window, doors, interior casing, removal, install</t>
  </si>
  <si>
    <t>Casing All Window/Dr</t>
  </si>
  <si>
    <t>Wood Products 2 1/2 Colonial 1, Length 96, Golden Oak Stain, Oak</t>
  </si>
  <si>
    <t>Lift 5-7 Days</t>
  </si>
  <si>
    <t>On-site lift - 5 to 7 days</t>
  </si>
  <si>
    <t>Custom Arch</t>
  </si>
  <si>
    <t>Custom arch top x 2</t>
  </si>
  <si>
    <t>Products, casing, lift, arch, install hardware</t>
  </si>
  <si>
    <t>Taxable Subtotal (products &amp; materials):</t>
  </si>
  <si>
    <t>Non-taxable Subtotal (installation labor):</t>
  </si>
  <si>
    <t>TOTAL / Amount Due:</t>
  </si>
  <si>
    <t>Above Laundry W 358,359</t>
  </si>
  <si>
    <t>Reference</t>
  </si>
  <si>
    <t>Bedroom 1 W-360-362
(Above Dining room)</t>
  </si>
  <si>
    <t>A-45</t>
  </si>
  <si>
    <t>A-49, A-50</t>
  </si>
  <si>
    <t>A-64</t>
  </si>
  <si>
    <t>Bedroom 2 W-366-368
(Above living room)</t>
  </si>
  <si>
    <t>2 of the 3 sashes have new dents: A-39, A-40, A-41</t>
  </si>
  <si>
    <t>Family W 378-382
(Toppest)</t>
  </si>
  <si>
    <t>A-143, A-144</t>
  </si>
  <si>
    <t>Family W 229
(upper south-east facing)</t>
  </si>
  <si>
    <t>Family W 231-233
(3 sashes upper  window)</t>
  </si>
  <si>
    <t>Family W 234-236
(3-sashes, main window)</t>
  </si>
  <si>
    <t>Family W 230
(Lower south-east facing)</t>
  </si>
  <si>
    <t>2.1.10</t>
  </si>
  <si>
    <t>Duplicate</t>
  </si>
  <si>
    <t>Family W 237
(North-east facing, upper)</t>
  </si>
  <si>
    <t>Missing</t>
  </si>
  <si>
    <t>Family W 238
(North-east facing, Lower)</t>
  </si>
  <si>
    <t>A-141</t>
  </si>
  <si>
    <t>Nook W-239
(South-East facing by sliding door)</t>
  </si>
  <si>
    <t>2.4.1, A-153, A-156</t>
  </si>
  <si>
    <t>A-162, A-163</t>
  </si>
  <si>
    <t>A-206</t>
  </si>
  <si>
    <t>Misc W 386
(Master bath room, east facing)</t>
  </si>
  <si>
    <t>Misc W 387
(Master bath room, north facing)</t>
  </si>
  <si>
    <t>Nook SGD-3
(Sliding door)</t>
  </si>
  <si>
    <t>Porch SGD-1
(Sliding door)</t>
  </si>
  <si>
    <t>In</t>
  </si>
  <si>
    <t>A-166 (left side of sash), 2.3.1 (bottom frame)</t>
  </si>
  <si>
    <t>Porch W 240
(South-East)</t>
  </si>
  <si>
    <t>Porch W 241
(Picture Window)</t>
  </si>
  <si>
    <t>Porch W 242
(North-east)</t>
  </si>
  <si>
    <t>A-174, 2.3.4</t>
  </si>
  <si>
    <t>A-179, 2.3.5</t>
  </si>
  <si>
    <t>Bedroom 3 W-388-390
(Bedroom above office)</t>
  </si>
  <si>
    <t>2.7.1, 2.7.2</t>
  </si>
  <si>
    <t>Bedroom 5 W 11-113
(Below office)</t>
  </si>
  <si>
    <t>W 254/255/256/257
(Garage)</t>
  </si>
  <si>
    <t>South W 375-377
(Upper-top)</t>
  </si>
  <si>
    <t>South W 372-374
(Upper-3 sashes)</t>
  </si>
  <si>
    <t>3.1.4</t>
  </si>
  <si>
    <t>3.1.1, 3.1.2, 3.1.3, A-81, A-82</t>
  </si>
  <si>
    <t>South W 372-374
(Lower)</t>
  </si>
  <si>
    <t>A-78</t>
  </si>
  <si>
    <t>OP @ 10%</t>
  </si>
  <si>
    <t>TOTAL:</t>
  </si>
  <si>
    <t>Stairway W 225
(lower level, west facing)</t>
  </si>
  <si>
    <t>Appraisal award</t>
  </si>
  <si>
    <t>A-185, 2.5.1</t>
  </si>
  <si>
    <t>2.5.2</t>
  </si>
  <si>
    <t>Sales Tax @ 8.525%:</t>
  </si>
  <si>
    <t>Dents in Report</t>
  </si>
  <si>
    <t>Yes</t>
  </si>
  <si>
    <t>FromPhoto</t>
  </si>
  <si>
    <t>A-119, A-121, A-122-123
2.1.4, 2.1.5, 2.1.6</t>
  </si>
  <si>
    <t>Family</t>
  </si>
  <si>
    <t>A-115, A--116, A-117
2.1.11</t>
  </si>
  <si>
    <t>A-134, A-135
2.1.9</t>
  </si>
  <si>
    <t>A-126, A-127, A-128
2.1.8</t>
  </si>
  <si>
    <t>Master W-383 (south-east)</t>
  </si>
  <si>
    <t>A-148 (trim), A-151, A-149,  2.4.6</t>
  </si>
  <si>
    <t>Master W-384 (center, east)</t>
  </si>
  <si>
    <t>Master W-385 (North-east)</t>
  </si>
  <si>
    <t>A-158, 2.4.3</t>
  </si>
  <si>
    <t>A-139, A-140, 2.2.1</t>
  </si>
  <si>
    <t>???</t>
  </si>
  <si>
    <t>2.3.2, A-170</t>
  </si>
  <si>
    <t>2.3.6</t>
  </si>
  <si>
    <t>2.6.1</t>
  </si>
  <si>
    <t>????</t>
  </si>
  <si>
    <t>Photo</t>
  </si>
  <si>
    <t>W 247-248
(Kitchen east facing)</t>
  </si>
  <si>
    <t>X</t>
  </si>
  <si>
    <t>missing</t>
  </si>
  <si>
    <t>Award</t>
  </si>
  <si>
    <t>W 249-250
(Kitchen north facung(</t>
  </si>
  <si>
    <t>2.8.1, 2.8.2, 2.8.3, A-216</t>
  </si>
  <si>
    <t>added</t>
  </si>
  <si>
    <t>A-54, A-55, A-56, 1.5.1, 1.5.2.1, 1.5.2.2, 1.5.3, 1.5.4</t>
  </si>
  <si>
    <t>UPPER SOUTHEAST FACING WINDOW AT FAMILY ROOM</t>
  </si>
  <si>
    <t>A-107, 2.1.1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</si>
</sst>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.00"/>
    <numFmt numFmtId="165" formatCode="&quot;$&quot;#,##0.00"/>
  </numFmts>
  <fonts count="8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i/>
      <sz val="9"/>
      <name val="Arial"/>
      <family val="2"/>
    </font>
    <font>
      <b/>
      <sz val="10"/>
      <name val="Arial"/>
      <family val="2"/>
    </font>
    <font>
      <b/>
      <sz val="11"/>
      <color theme="1"/>
      <name val="Calibri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CCFFFF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rgb="FFBBBBBB"/>
      </left>
      <right style="thin">
        <color rgb="FFBBBBBB"/>
      </right>
      <top/>
      <bottom style="thin">
        <color rgb="FFBBBBBB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top"/>
    </xf>
    <xf numFmtId="0" fontId="3" fillId="0" borderId="1" xfId="0" applyFont="1" applyBorder="1" applyAlignment="1">
      <alignment vertical="top"/>
    </xf>
    <xf numFmtId="0" fontId="3" fillId="0" borderId="1" xfId="0" applyFont="1" applyBorder="1" applyAlignment="1">
      <alignment vertical="top" wrapText="1"/>
    </xf>
    <xf numFmtId="164" fontId="3" fillId="0" borderId="1" xfId="0" applyNumberFormat="1" applyFont="1" applyBorder="1" applyAlignment="1">
      <alignment horizontal="right" vertical="top"/>
    </xf>
    <xf numFmtId="0" fontId="5" fillId="0" borderId="0" xfId="0" applyFont="1"/>
    <xf numFmtId="0" fontId="3" fillId="0" borderId="0" xfId="0" applyFont="1" applyAlignment="1">
      <alignment horizontal="right"/>
    </xf>
    <xf numFmtId="164" fontId="3" fillId="3" borderId="1" xfId="0" applyNumberFormat="1" applyFont="1" applyFill="1" applyBorder="1"/>
    <xf numFmtId="0" fontId="6" fillId="0" borderId="0" xfId="0" applyFont="1" applyAlignment="1">
      <alignment horizontal="right"/>
    </xf>
    <xf numFmtId="164" fontId="6" fillId="3" borderId="1" xfId="0" applyNumberFormat="1" applyFont="1" applyFill="1" applyBorder="1"/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3" fillId="4" borderId="1" xfId="0" applyFont="1" applyFill="1" applyBorder="1" applyAlignment="1">
      <alignment vertical="top"/>
    </xf>
    <xf numFmtId="0" fontId="3" fillId="4" borderId="1" xfId="0" applyFont="1" applyFill="1" applyBorder="1" applyAlignment="1">
      <alignment vertical="top" wrapText="1"/>
    </xf>
    <xf numFmtId="0" fontId="3" fillId="4" borderId="1" xfId="0" applyFont="1" applyFill="1" applyBorder="1" applyAlignment="1">
      <alignment horizontal="center" vertical="top"/>
    </xf>
    <xf numFmtId="164" fontId="3" fillId="4" borderId="1" xfId="0" applyNumberFormat="1" applyFont="1" applyFill="1" applyBorder="1" applyAlignment="1">
      <alignment horizontal="right" vertical="top"/>
    </xf>
    <xf numFmtId="0" fontId="1" fillId="0" borderId="1" xfId="0" applyFont="1" applyBorder="1" applyAlignment="1">
      <alignment horizontal="center" vertical="top"/>
    </xf>
    <xf numFmtId="164" fontId="3" fillId="5" borderId="1" xfId="0" applyNumberFormat="1" applyFont="1" applyFill="1" applyBorder="1" applyAlignment="1">
      <alignment horizontal="right" vertical="top"/>
    </xf>
    <xf numFmtId="0" fontId="1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vertical="top" wrapText="1"/>
    </xf>
    <xf numFmtId="0" fontId="3" fillId="5" borderId="1" xfId="0" applyFont="1" applyFill="1" applyBorder="1" applyAlignment="1">
      <alignment horizontal="center" vertical="top"/>
    </xf>
    <xf numFmtId="0" fontId="1" fillId="5" borderId="1" xfId="0" applyFont="1" applyFill="1" applyBorder="1" applyAlignment="1">
      <alignment vertical="top"/>
    </xf>
    <xf numFmtId="0" fontId="1" fillId="4" borderId="1" xfId="0" applyFont="1" applyFill="1" applyBorder="1" applyAlignment="1">
      <alignment vertical="top" wrapText="1"/>
    </xf>
    <xf numFmtId="0" fontId="1" fillId="0" borderId="0" xfId="0" applyFont="1" applyAlignment="1">
      <alignment horizontal="right"/>
    </xf>
    <xf numFmtId="164" fontId="0" fillId="0" borderId="0" xfId="0" applyNumberFormat="1"/>
    <xf numFmtId="165" fontId="0" fillId="0" borderId="0" xfId="0" applyNumberFormat="1"/>
    <xf numFmtId="0" fontId="7" fillId="0" borderId="0" xfId="0" applyFont="1"/>
    <xf numFmtId="165" fontId="7" fillId="0" borderId="0" xfId="0" applyNumberFormat="1" applyFont="1"/>
    <xf numFmtId="164" fontId="3" fillId="3" borderId="2" xfId="0" applyNumberFormat="1" applyFont="1" applyFill="1" applyBorder="1"/>
    <xf numFmtId="0" fontId="0" fillId="0" borderId="1" xfId="0" applyBorder="1"/>
    <xf numFmtId="0" fontId="0" fillId="5" borderId="1" xfId="0" applyFill="1" applyBorder="1"/>
    <xf numFmtId="164" fontId="3" fillId="3" borderId="0" xfId="0" applyNumberFormat="1" applyFont="1" applyFill="1"/>
    <xf numFmtId="164" fontId="6" fillId="3" borderId="0" xfId="0" applyNumberFormat="1" applyFont="1" applyFill="1"/>
    <xf numFmtId="164" fontId="1" fillId="0" borderId="1" xfId="0" applyNumberFormat="1" applyFont="1" applyBorder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164" fontId="1" fillId="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4"/>
  <sheetViews>
    <sheetView showGridLines="0" tabSelected="1" zoomScale="130" zoomScaleNormal="130" workbookViewId="0">
      <pane ySplit="7" topLeftCell="A8" activePane="bottomLeft" state="frozen"/>
      <selection pane="bottomLeft" activeCell="J16" sqref="J16"/>
    </sheetView>
  </sheetViews>
  <sheetFormatPr baseColWidth="10" defaultColWidth="8.6640625" defaultRowHeight="15" x14ac:dyDescent="0.2"/>
  <cols>
    <col min="1" max="1" width="8" customWidth="1"/>
    <col min="2" max="2" width="22" customWidth="1"/>
    <col min="3" max="3" width="62" customWidth="1"/>
    <col min="4" max="4" width="6" customWidth="1"/>
    <col min="5" max="5" width="14" customWidth="1"/>
    <col min="6" max="7" width="15" customWidth="1"/>
    <col min="8" max="8" width="24.5" customWidth="1"/>
  </cols>
  <sheetData>
    <row r="1" spans="1:10" ht="18" x14ac:dyDescent="0.2">
      <c r="A1" s="1" t="s">
        <v>0</v>
      </c>
    </row>
    <row r="2" spans="1:10" x14ac:dyDescent="0.2">
      <c r="A2" s="2" t="s">
        <v>1</v>
      </c>
    </row>
    <row r="3" spans="1:10" x14ac:dyDescent="0.2">
      <c r="A3" s="2" t="s">
        <v>2</v>
      </c>
    </row>
    <row r="4" spans="1:10" x14ac:dyDescent="0.2">
      <c r="A4" s="2" t="s">
        <v>3</v>
      </c>
    </row>
    <row r="5" spans="1:10" x14ac:dyDescent="0.2">
      <c r="A5" s="2" t="s">
        <v>4</v>
      </c>
    </row>
    <row r="7" spans="1:10" x14ac:dyDescent="0.2">
      <c r="A7" s="3" t="s">
        <v>5</v>
      </c>
      <c r="B7" s="3" t="s">
        <v>6</v>
      </c>
      <c r="C7" s="3" t="s">
        <v>7</v>
      </c>
      <c r="D7" s="3" t="s">
        <v>8</v>
      </c>
      <c r="E7" s="3" t="s">
        <v>9</v>
      </c>
      <c r="F7" s="3" t="s">
        <v>10</v>
      </c>
      <c r="G7" s="3" t="s">
        <v>101</v>
      </c>
      <c r="H7" s="3" t="s">
        <v>50</v>
      </c>
    </row>
    <row r="8" spans="1:10" x14ac:dyDescent="0.2">
      <c r="A8" s="4">
        <v>10</v>
      </c>
      <c r="B8" s="24" t="s">
        <v>49</v>
      </c>
      <c r="C8" s="22" t="s">
        <v>11</v>
      </c>
      <c r="D8" s="23">
        <v>2</v>
      </c>
      <c r="E8" s="20">
        <v>2240.4899999999998</v>
      </c>
      <c r="F8" s="20">
        <f t="shared" ref="F8:F45" si="0">D8*E8</f>
        <v>4480.9799999999996</v>
      </c>
      <c r="G8" s="20"/>
      <c r="H8" s="24"/>
    </row>
    <row r="9" spans="1:10" ht="28" x14ac:dyDescent="0.2">
      <c r="A9" s="4">
        <v>15</v>
      </c>
      <c r="B9" s="14" t="s">
        <v>51</v>
      </c>
      <c r="C9" s="6" t="s">
        <v>12</v>
      </c>
      <c r="D9" s="4">
        <v>1</v>
      </c>
      <c r="E9" s="7">
        <v>7602.17</v>
      </c>
      <c r="F9" s="7">
        <f t="shared" si="0"/>
        <v>7602.17</v>
      </c>
      <c r="G9" s="36" t="s">
        <v>102</v>
      </c>
      <c r="H9" s="13" t="s">
        <v>52</v>
      </c>
      <c r="I9" t="s">
        <v>122</v>
      </c>
    </row>
    <row r="10" spans="1:10" ht="28" x14ac:dyDescent="0.2">
      <c r="A10" s="4">
        <v>20</v>
      </c>
      <c r="B10" s="5" t="s">
        <v>13</v>
      </c>
      <c r="C10" s="6" t="s">
        <v>14</v>
      </c>
      <c r="D10" s="4">
        <v>1</v>
      </c>
      <c r="E10" s="7">
        <v>7085.76</v>
      </c>
      <c r="F10" s="7">
        <f t="shared" si="0"/>
        <v>7085.76</v>
      </c>
      <c r="G10" s="36" t="s">
        <v>102</v>
      </c>
      <c r="H10" s="13" t="s">
        <v>53</v>
      </c>
      <c r="I10" t="s">
        <v>122</v>
      </c>
      <c r="J10" t="s">
        <v>127</v>
      </c>
    </row>
    <row r="11" spans="1:10" ht="28" x14ac:dyDescent="0.2">
      <c r="A11" s="4">
        <v>25</v>
      </c>
      <c r="B11" s="14" t="s">
        <v>55</v>
      </c>
      <c r="C11" s="6" t="s">
        <v>12</v>
      </c>
      <c r="D11" s="4">
        <v>1</v>
      </c>
      <c r="E11" s="7">
        <v>7602.17</v>
      </c>
      <c r="F11" s="7">
        <f t="shared" si="0"/>
        <v>7602.17</v>
      </c>
      <c r="G11" s="36" t="s">
        <v>102</v>
      </c>
      <c r="H11" s="13" t="s">
        <v>54</v>
      </c>
      <c r="I11" t="s">
        <v>122</v>
      </c>
    </row>
    <row r="12" spans="1:10" ht="28" x14ac:dyDescent="0.2">
      <c r="A12" s="4">
        <v>30</v>
      </c>
      <c r="B12" s="5" t="s">
        <v>15</v>
      </c>
      <c r="C12" s="6" t="s">
        <v>16</v>
      </c>
      <c r="D12" s="4">
        <v>1</v>
      </c>
      <c r="E12" s="7">
        <v>13311.3</v>
      </c>
      <c r="F12" s="7">
        <f t="shared" si="0"/>
        <v>13311.3</v>
      </c>
      <c r="G12" s="36" t="s">
        <v>102</v>
      </c>
      <c r="H12" s="14" t="s">
        <v>128</v>
      </c>
      <c r="I12" t="s">
        <v>122</v>
      </c>
      <c r="J12" t="s">
        <v>127</v>
      </c>
    </row>
    <row r="13" spans="1:10" ht="28" x14ac:dyDescent="0.2">
      <c r="A13" s="4">
        <v>35</v>
      </c>
      <c r="B13" s="5" t="s">
        <v>17</v>
      </c>
      <c r="C13" s="6" t="s">
        <v>12</v>
      </c>
      <c r="D13" s="4">
        <v>1</v>
      </c>
      <c r="E13" s="7">
        <v>7602.17</v>
      </c>
      <c r="F13" s="7">
        <f t="shared" si="0"/>
        <v>7602.17</v>
      </c>
      <c r="G13" s="36" t="s">
        <v>102</v>
      </c>
      <c r="H13" s="14" t="s">
        <v>56</v>
      </c>
    </row>
    <row r="14" spans="1:10" ht="28" x14ac:dyDescent="0.2">
      <c r="A14" s="4">
        <v>40</v>
      </c>
      <c r="B14" s="14" t="s">
        <v>57</v>
      </c>
      <c r="C14" s="6" t="s">
        <v>18</v>
      </c>
      <c r="D14" s="4">
        <v>5</v>
      </c>
      <c r="E14" s="7">
        <v>1693.95</v>
      </c>
      <c r="F14" s="7">
        <f t="shared" si="0"/>
        <v>8469.75</v>
      </c>
      <c r="G14" s="36" t="s">
        <v>103</v>
      </c>
      <c r="H14" s="13" t="s">
        <v>58</v>
      </c>
      <c r="I14" t="s">
        <v>122</v>
      </c>
    </row>
    <row r="15" spans="1:10" ht="28" x14ac:dyDescent="0.2">
      <c r="A15" s="4">
        <v>45</v>
      </c>
      <c r="B15" s="14" t="s">
        <v>59</v>
      </c>
      <c r="C15" s="6" t="s">
        <v>19</v>
      </c>
      <c r="D15" s="4">
        <v>1</v>
      </c>
      <c r="E15" s="7">
        <v>2493.48</v>
      </c>
      <c r="F15" s="7">
        <f t="shared" si="0"/>
        <v>2493.48</v>
      </c>
      <c r="G15" s="36" t="s">
        <v>102</v>
      </c>
      <c r="H15" s="13" t="s">
        <v>130</v>
      </c>
      <c r="I15" t="s">
        <v>123</v>
      </c>
    </row>
    <row r="16" spans="1:10" ht="28" x14ac:dyDescent="0.2">
      <c r="A16" s="4">
        <v>50</v>
      </c>
      <c r="B16" s="14" t="s">
        <v>60</v>
      </c>
      <c r="C16" s="6" t="s">
        <v>20</v>
      </c>
      <c r="D16" s="4">
        <v>1</v>
      </c>
      <c r="E16" s="7">
        <v>7957.75</v>
      </c>
      <c r="F16" s="7">
        <f t="shared" si="0"/>
        <v>7957.75</v>
      </c>
      <c r="G16" s="36" t="s">
        <v>102</v>
      </c>
      <c r="H16" s="14" t="s">
        <v>104</v>
      </c>
      <c r="I16" t="s">
        <v>122</v>
      </c>
    </row>
    <row r="17" spans="1:9" x14ac:dyDescent="0.2">
      <c r="A17" s="4">
        <v>55</v>
      </c>
      <c r="B17" s="15" t="s">
        <v>21</v>
      </c>
      <c r="C17" s="16" t="s">
        <v>22</v>
      </c>
      <c r="D17" s="17">
        <v>1</v>
      </c>
      <c r="E17" s="18"/>
      <c r="F17" s="18"/>
      <c r="G17" s="38"/>
      <c r="H17" s="25" t="s">
        <v>64</v>
      </c>
    </row>
    <row r="18" spans="1:9" ht="28" x14ac:dyDescent="0.2">
      <c r="A18" s="4">
        <v>60</v>
      </c>
      <c r="B18" s="14" t="s">
        <v>62</v>
      </c>
      <c r="C18" s="6" t="s">
        <v>19</v>
      </c>
      <c r="D18" s="4">
        <v>1</v>
      </c>
      <c r="E18" s="7">
        <v>2493.48</v>
      </c>
      <c r="F18" s="7">
        <f t="shared" si="0"/>
        <v>2493.48</v>
      </c>
      <c r="G18" s="36" t="s">
        <v>105</v>
      </c>
      <c r="H18" s="14" t="s">
        <v>63</v>
      </c>
    </row>
    <row r="19" spans="1:9" ht="28" x14ac:dyDescent="0.2">
      <c r="A19" s="4">
        <v>65</v>
      </c>
      <c r="B19" s="14" t="s">
        <v>61</v>
      </c>
      <c r="C19" s="6" t="s">
        <v>20</v>
      </c>
      <c r="D19" s="4">
        <v>1</v>
      </c>
      <c r="E19" s="7">
        <v>7957.75</v>
      </c>
      <c r="F19" s="7">
        <f t="shared" si="0"/>
        <v>7957.75</v>
      </c>
      <c r="G19" s="36" t="s">
        <v>102</v>
      </c>
      <c r="H19" s="14" t="s">
        <v>106</v>
      </c>
      <c r="I19" t="s">
        <v>124</v>
      </c>
    </row>
    <row r="20" spans="1:9" ht="28" x14ac:dyDescent="0.2">
      <c r="A20" s="4">
        <v>70</v>
      </c>
      <c r="B20" s="14" t="s">
        <v>65</v>
      </c>
      <c r="C20" s="6" t="s">
        <v>22</v>
      </c>
      <c r="D20" s="4">
        <v>1</v>
      </c>
      <c r="E20" s="7">
        <v>2493.48</v>
      </c>
      <c r="F20" s="7">
        <f t="shared" si="0"/>
        <v>2493.48</v>
      </c>
      <c r="G20" s="36" t="s">
        <v>102</v>
      </c>
      <c r="H20" s="14" t="s">
        <v>107</v>
      </c>
      <c r="I20" t="s">
        <v>122</v>
      </c>
    </row>
    <row r="21" spans="1:9" ht="28" x14ac:dyDescent="0.2">
      <c r="A21" s="19" t="s">
        <v>66</v>
      </c>
      <c r="B21" s="14" t="s">
        <v>67</v>
      </c>
      <c r="C21" s="6" t="s">
        <v>22</v>
      </c>
      <c r="D21" s="4">
        <v>1</v>
      </c>
      <c r="E21" s="7">
        <v>2493.48</v>
      </c>
      <c r="F21" s="7">
        <f t="shared" ref="F21" si="1">D21*E21</f>
        <v>2493.48</v>
      </c>
      <c r="G21" s="36" t="s">
        <v>102</v>
      </c>
      <c r="H21" s="14" t="s">
        <v>108</v>
      </c>
      <c r="I21" t="s">
        <v>122</v>
      </c>
    </row>
    <row r="22" spans="1:9" ht="28" x14ac:dyDescent="0.2">
      <c r="A22" s="4">
        <v>75</v>
      </c>
      <c r="B22" s="13" t="s">
        <v>109</v>
      </c>
      <c r="C22" s="6" t="s">
        <v>23</v>
      </c>
      <c r="D22" s="4">
        <v>1</v>
      </c>
      <c r="E22" s="7">
        <v>2525.98</v>
      </c>
      <c r="F22" s="7">
        <f t="shared" si="0"/>
        <v>2525.98</v>
      </c>
      <c r="G22" s="36" t="s">
        <v>102</v>
      </c>
      <c r="H22" s="14" t="s">
        <v>110</v>
      </c>
      <c r="I22" t="s">
        <v>122</v>
      </c>
    </row>
    <row r="23" spans="1:9" x14ac:dyDescent="0.2">
      <c r="A23" s="4">
        <v>80</v>
      </c>
      <c r="B23" s="13" t="s">
        <v>111</v>
      </c>
      <c r="C23" s="6" t="s">
        <v>24</v>
      </c>
      <c r="D23" s="4">
        <v>1</v>
      </c>
      <c r="E23" s="7">
        <v>3205.31</v>
      </c>
      <c r="F23" s="7">
        <f t="shared" si="0"/>
        <v>3205.31</v>
      </c>
      <c r="G23" s="36" t="s">
        <v>102</v>
      </c>
      <c r="H23" s="14" t="s">
        <v>70</v>
      </c>
      <c r="I23" t="s">
        <v>122</v>
      </c>
    </row>
    <row r="24" spans="1:9" x14ac:dyDescent="0.2">
      <c r="A24" s="4">
        <v>85</v>
      </c>
      <c r="B24" s="13" t="s">
        <v>112</v>
      </c>
      <c r="C24" s="6" t="s">
        <v>25</v>
      </c>
      <c r="D24" s="4">
        <v>1</v>
      </c>
      <c r="E24" s="7">
        <v>2525.98</v>
      </c>
      <c r="F24" s="7">
        <f t="shared" si="0"/>
        <v>2525.98</v>
      </c>
      <c r="G24" s="36" t="s">
        <v>102</v>
      </c>
      <c r="H24" s="14" t="s">
        <v>113</v>
      </c>
      <c r="I24" t="s">
        <v>122</v>
      </c>
    </row>
    <row r="25" spans="1:9" ht="42" x14ac:dyDescent="0.2">
      <c r="A25" s="4">
        <v>90</v>
      </c>
      <c r="B25" s="14" t="s">
        <v>69</v>
      </c>
      <c r="C25" s="6" t="s">
        <v>23</v>
      </c>
      <c r="D25" s="4">
        <v>1</v>
      </c>
      <c r="E25" s="7">
        <v>2525.98</v>
      </c>
      <c r="F25" s="7">
        <f t="shared" si="0"/>
        <v>2525.98</v>
      </c>
      <c r="G25" s="36" t="s">
        <v>115</v>
      </c>
      <c r="H25" s="14" t="s">
        <v>114</v>
      </c>
      <c r="I25" t="s">
        <v>122</v>
      </c>
    </row>
    <row r="26" spans="1:9" ht="28" x14ac:dyDescent="0.2">
      <c r="A26" s="4">
        <v>95</v>
      </c>
      <c r="B26" s="14" t="s">
        <v>75</v>
      </c>
      <c r="C26" s="6" t="s">
        <v>26</v>
      </c>
      <c r="D26" s="4">
        <v>1</v>
      </c>
      <c r="E26" s="7">
        <v>9927.32</v>
      </c>
      <c r="F26" s="7">
        <f t="shared" si="0"/>
        <v>9927.32</v>
      </c>
      <c r="G26" s="36" t="s">
        <v>102</v>
      </c>
      <c r="H26" s="14" t="s">
        <v>68</v>
      </c>
      <c r="I26" t="s">
        <v>123</v>
      </c>
    </row>
    <row r="27" spans="1:9" ht="28" x14ac:dyDescent="0.2">
      <c r="A27" s="4">
        <v>100</v>
      </c>
      <c r="B27" s="14" t="s">
        <v>76</v>
      </c>
      <c r="C27" s="6" t="s">
        <v>26</v>
      </c>
      <c r="D27" s="4">
        <v>1</v>
      </c>
      <c r="E27" s="7">
        <v>9927.32</v>
      </c>
      <c r="F27" s="7">
        <f t="shared" si="0"/>
        <v>9927.32</v>
      </c>
      <c r="G27" s="36" t="s">
        <v>115</v>
      </c>
      <c r="H27" s="14" t="s">
        <v>77</v>
      </c>
    </row>
    <row r="28" spans="1:9" ht="28" x14ac:dyDescent="0.2">
      <c r="A28" s="4">
        <v>105</v>
      </c>
      <c r="B28" s="14" t="s">
        <v>79</v>
      </c>
      <c r="C28" s="6" t="s">
        <v>23</v>
      </c>
      <c r="D28" s="4">
        <v>1</v>
      </c>
      <c r="E28" s="7">
        <v>2525.98</v>
      </c>
      <c r="F28" s="7">
        <f t="shared" si="0"/>
        <v>2525.98</v>
      </c>
      <c r="G28" s="36" t="s">
        <v>102</v>
      </c>
      <c r="H28" s="14" t="s">
        <v>78</v>
      </c>
      <c r="I28" t="s">
        <v>122</v>
      </c>
    </row>
    <row r="29" spans="1:9" ht="28" x14ac:dyDescent="0.2">
      <c r="A29" s="4">
        <v>110</v>
      </c>
      <c r="B29" s="14" t="s">
        <v>80</v>
      </c>
      <c r="C29" s="6" t="s">
        <v>27</v>
      </c>
      <c r="D29" s="4">
        <v>1</v>
      </c>
      <c r="E29" s="7">
        <v>3135.92</v>
      </c>
      <c r="F29" s="7">
        <f t="shared" si="0"/>
        <v>3135.92</v>
      </c>
      <c r="G29" s="36" t="s">
        <v>115</v>
      </c>
      <c r="H29" s="21" t="s">
        <v>116</v>
      </c>
      <c r="I29" t="s">
        <v>122</v>
      </c>
    </row>
    <row r="30" spans="1:9" ht="28" x14ac:dyDescent="0.2">
      <c r="A30" s="4">
        <v>115</v>
      </c>
      <c r="B30" s="14" t="s">
        <v>81</v>
      </c>
      <c r="C30" s="6" t="s">
        <v>25</v>
      </c>
      <c r="D30" s="4">
        <v>1</v>
      </c>
      <c r="E30" s="7">
        <v>2525.98</v>
      </c>
      <c r="F30" s="7">
        <f t="shared" si="0"/>
        <v>2525.98</v>
      </c>
      <c r="G30" s="36" t="s">
        <v>115</v>
      </c>
      <c r="H30" s="14" t="s">
        <v>82</v>
      </c>
      <c r="I30" t="s">
        <v>122</v>
      </c>
    </row>
    <row r="31" spans="1:9" x14ac:dyDescent="0.2">
      <c r="A31" s="4">
        <v>120</v>
      </c>
      <c r="B31" s="5" t="s">
        <v>28</v>
      </c>
      <c r="C31" s="6" t="s">
        <v>29</v>
      </c>
      <c r="D31" s="4">
        <v>1</v>
      </c>
      <c r="E31" s="7">
        <v>5434.84</v>
      </c>
      <c r="F31" s="7">
        <f t="shared" si="0"/>
        <v>5434.84</v>
      </c>
      <c r="G31" s="36" t="s">
        <v>102</v>
      </c>
      <c r="H31" s="14" t="s">
        <v>83</v>
      </c>
      <c r="I31" t="s">
        <v>122</v>
      </c>
    </row>
    <row r="32" spans="1:9" x14ac:dyDescent="0.2">
      <c r="A32" s="4">
        <v>125</v>
      </c>
      <c r="B32" s="5" t="s">
        <v>30</v>
      </c>
      <c r="C32" s="6" t="s">
        <v>29</v>
      </c>
      <c r="D32" s="4">
        <v>1</v>
      </c>
      <c r="E32" s="7">
        <v>5434.84</v>
      </c>
      <c r="F32" s="7">
        <f t="shared" si="0"/>
        <v>5434.84</v>
      </c>
      <c r="G32" s="36" t="s">
        <v>105</v>
      </c>
      <c r="H32" s="14" t="s">
        <v>117</v>
      </c>
    </row>
    <row r="33" spans="1:9" ht="42" x14ac:dyDescent="0.2">
      <c r="A33" s="4">
        <v>130</v>
      </c>
      <c r="B33" s="14" t="s">
        <v>73</v>
      </c>
      <c r="C33" s="6" t="s">
        <v>31</v>
      </c>
      <c r="D33" s="4">
        <v>1</v>
      </c>
      <c r="E33" s="7">
        <v>2576.7199999999998</v>
      </c>
      <c r="F33" s="7">
        <f t="shared" si="0"/>
        <v>2576.7199999999998</v>
      </c>
      <c r="G33" s="36" t="s">
        <v>115</v>
      </c>
      <c r="H33" s="14" t="s">
        <v>71</v>
      </c>
      <c r="I33" t="s">
        <v>122</v>
      </c>
    </row>
    <row r="34" spans="1:9" ht="42" x14ac:dyDescent="0.2">
      <c r="A34" s="4">
        <v>135</v>
      </c>
      <c r="B34" s="14" t="s">
        <v>74</v>
      </c>
      <c r="C34" s="6" t="s">
        <v>32</v>
      </c>
      <c r="D34" s="4">
        <v>1</v>
      </c>
      <c r="E34" s="7">
        <v>2355.16</v>
      </c>
      <c r="F34" s="7">
        <f t="shared" si="0"/>
        <v>2355.16</v>
      </c>
      <c r="G34" s="36" t="s">
        <v>115</v>
      </c>
      <c r="H34" s="14" t="s">
        <v>72</v>
      </c>
      <c r="I34" t="s">
        <v>122</v>
      </c>
    </row>
    <row r="35" spans="1:9" ht="28" x14ac:dyDescent="0.2">
      <c r="A35" s="4">
        <v>140</v>
      </c>
      <c r="B35" s="14" t="s">
        <v>84</v>
      </c>
      <c r="C35" s="6" t="s">
        <v>12</v>
      </c>
      <c r="D35" s="4">
        <v>1</v>
      </c>
      <c r="E35" s="7">
        <v>7602.17</v>
      </c>
      <c r="F35" s="7">
        <f t="shared" si="0"/>
        <v>7602.17</v>
      </c>
      <c r="G35" s="36" t="s">
        <v>105</v>
      </c>
      <c r="H35" s="14" t="s">
        <v>85</v>
      </c>
    </row>
    <row r="36" spans="1:9" x14ac:dyDescent="0.2">
      <c r="A36" s="4">
        <v>145</v>
      </c>
      <c r="B36" s="5" t="s">
        <v>33</v>
      </c>
      <c r="C36" s="6" t="s">
        <v>34</v>
      </c>
      <c r="D36" s="4">
        <v>1</v>
      </c>
      <c r="E36" s="7">
        <v>7602.17</v>
      </c>
      <c r="F36" s="7">
        <f t="shared" si="0"/>
        <v>7602.17</v>
      </c>
      <c r="G36" s="36" t="s">
        <v>105</v>
      </c>
      <c r="H36" s="14" t="s">
        <v>118</v>
      </c>
      <c r="I36" t="s">
        <v>122</v>
      </c>
    </row>
    <row r="37" spans="1:9" ht="28" x14ac:dyDescent="0.2">
      <c r="A37" s="4">
        <v>150</v>
      </c>
      <c r="B37" s="21" t="s">
        <v>86</v>
      </c>
      <c r="C37" s="6" t="s">
        <v>12</v>
      </c>
      <c r="D37" s="4">
        <v>1</v>
      </c>
      <c r="E37" s="7">
        <v>7602.17</v>
      </c>
      <c r="F37" s="7">
        <f t="shared" si="0"/>
        <v>7602.17</v>
      </c>
      <c r="G37" s="36" t="s">
        <v>115</v>
      </c>
      <c r="H37" s="22"/>
    </row>
    <row r="38" spans="1:9" ht="28" x14ac:dyDescent="0.2">
      <c r="A38" s="4">
        <v>155</v>
      </c>
      <c r="B38" s="14" t="s">
        <v>87</v>
      </c>
      <c r="C38" s="6" t="s">
        <v>35</v>
      </c>
      <c r="D38" s="4">
        <v>2</v>
      </c>
      <c r="E38" s="7">
        <v>4762.38</v>
      </c>
      <c r="F38" s="7">
        <f t="shared" si="0"/>
        <v>9524.76</v>
      </c>
      <c r="G38" s="36" t="s">
        <v>105</v>
      </c>
      <c r="H38" s="14" t="s">
        <v>126</v>
      </c>
      <c r="I38" t="s">
        <v>122</v>
      </c>
    </row>
    <row r="39" spans="1:9" ht="28" x14ac:dyDescent="0.2">
      <c r="A39" s="4">
        <v>160</v>
      </c>
      <c r="B39" s="14" t="s">
        <v>88</v>
      </c>
      <c r="C39" s="6" t="s">
        <v>14</v>
      </c>
      <c r="D39" s="4">
        <v>1</v>
      </c>
      <c r="E39" s="7">
        <v>6686.91</v>
      </c>
      <c r="F39" s="7">
        <f t="shared" si="0"/>
        <v>6686.91</v>
      </c>
      <c r="G39" s="36" t="s">
        <v>119</v>
      </c>
      <c r="H39" s="21" t="s">
        <v>90</v>
      </c>
    </row>
    <row r="40" spans="1:9" ht="28" x14ac:dyDescent="0.2">
      <c r="A40" s="4">
        <v>165</v>
      </c>
      <c r="B40" s="14" t="s">
        <v>89</v>
      </c>
      <c r="C40" s="6" t="s">
        <v>34</v>
      </c>
      <c r="D40" s="4">
        <v>1</v>
      </c>
      <c r="E40" s="7">
        <v>7602.17</v>
      </c>
      <c r="F40" s="7">
        <f t="shared" si="0"/>
        <v>7602.17</v>
      </c>
      <c r="G40" s="36" t="s">
        <v>105</v>
      </c>
      <c r="H40" s="14" t="s">
        <v>91</v>
      </c>
    </row>
    <row r="41" spans="1:9" ht="28" x14ac:dyDescent="0.2">
      <c r="A41" s="4">
        <v>170</v>
      </c>
      <c r="B41" s="14" t="s">
        <v>92</v>
      </c>
      <c r="C41" s="6" t="s">
        <v>36</v>
      </c>
      <c r="D41" s="4">
        <v>1</v>
      </c>
      <c r="E41" s="7">
        <v>8025.57</v>
      </c>
      <c r="F41" s="7">
        <f t="shared" si="0"/>
        <v>8025.57</v>
      </c>
      <c r="G41" s="36" t="s">
        <v>120</v>
      </c>
      <c r="H41" s="14" t="s">
        <v>93</v>
      </c>
      <c r="I41" t="s">
        <v>66</v>
      </c>
    </row>
    <row r="42" spans="1:9" x14ac:dyDescent="0.2">
      <c r="A42" s="4">
        <v>175</v>
      </c>
      <c r="B42" s="5" t="s">
        <v>37</v>
      </c>
      <c r="C42" s="6" t="s">
        <v>38</v>
      </c>
      <c r="D42" s="4">
        <v>1</v>
      </c>
      <c r="E42" s="7">
        <v>51253.02</v>
      </c>
      <c r="F42" s="7">
        <f t="shared" si="0"/>
        <v>51253.02</v>
      </c>
      <c r="G42" s="37"/>
      <c r="H42" s="6"/>
    </row>
    <row r="43" spans="1:9" x14ac:dyDescent="0.2">
      <c r="A43" s="4">
        <v>180</v>
      </c>
      <c r="B43" s="5" t="s">
        <v>39</v>
      </c>
      <c r="C43" s="6" t="s">
        <v>40</v>
      </c>
      <c r="D43" s="4">
        <v>99</v>
      </c>
      <c r="E43" s="7">
        <v>106.07</v>
      </c>
      <c r="F43" s="7">
        <f t="shared" si="0"/>
        <v>10500.929999999998</v>
      </c>
      <c r="G43" s="37"/>
      <c r="H43" s="6"/>
    </row>
    <row r="44" spans="1:9" x14ac:dyDescent="0.2">
      <c r="A44" s="4">
        <v>185</v>
      </c>
      <c r="B44" s="5" t="s">
        <v>41</v>
      </c>
      <c r="C44" s="6" t="s">
        <v>42</v>
      </c>
      <c r="D44" s="4">
        <v>1</v>
      </c>
      <c r="E44" s="7">
        <v>3404.7</v>
      </c>
      <c r="F44" s="7">
        <f t="shared" si="0"/>
        <v>3404.7</v>
      </c>
      <c r="G44" s="37"/>
      <c r="H44" s="6"/>
    </row>
    <row r="45" spans="1:9" x14ac:dyDescent="0.2">
      <c r="A45" s="4">
        <v>190</v>
      </c>
      <c r="B45" s="5" t="s">
        <v>43</v>
      </c>
      <c r="C45" s="6" t="s">
        <v>44</v>
      </c>
      <c r="D45" s="4">
        <v>1</v>
      </c>
      <c r="E45" s="7">
        <v>2054.6999999999998</v>
      </c>
      <c r="F45" s="7">
        <f t="shared" si="0"/>
        <v>2054.6999999999998</v>
      </c>
      <c r="G45" s="37"/>
      <c r="H45" s="6"/>
    </row>
    <row r="46" spans="1:9" ht="28" x14ac:dyDescent="0.2">
      <c r="A46" s="19" t="s">
        <v>66</v>
      </c>
      <c r="B46" s="14" t="s">
        <v>96</v>
      </c>
      <c r="C46" s="14" t="s">
        <v>97</v>
      </c>
      <c r="D46" s="4"/>
      <c r="E46" s="7"/>
      <c r="F46" s="20"/>
      <c r="G46" s="39"/>
      <c r="H46" s="6"/>
    </row>
    <row r="47" spans="1:9" ht="28" x14ac:dyDescent="0.2">
      <c r="A47" s="19" t="s">
        <v>66</v>
      </c>
      <c r="B47" s="14" t="s">
        <v>121</v>
      </c>
      <c r="C47" s="6"/>
      <c r="D47" s="4"/>
      <c r="E47" s="7"/>
      <c r="F47" s="20"/>
      <c r="G47" s="41" t="s">
        <v>102</v>
      </c>
      <c r="H47" s="14" t="s">
        <v>98</v>
      </c>
      <c r="I47" t="s">
        <v>122</v>
      </c>
    </row>
    <row r="48" spans="1:9" ht="28" x14ac:dyDescent="0.2">
      <c r="A48" s="19" t="s">
        <v>66</v>
      </c>
      <c r="B48" s="14" t="s">
        <v>125</v>
      </c>
      <c r="C48" s="32"/>
      <c r="D48" s="32"/>
      <c r="E48" s="32"/>
      <c r="F48" s="33"/>
      <c r="G48" s="40" t="s">
        <v>105</v>
      </c>
      <c r="H48" s="32" t="s">
        <v>99</v>
      </c>
      <c r="I48" t="s">
        <v>122</v>
      </c>
    </row>
    <row r="49" spans="3:8" x14ac:dyDescent="0.2">
      <c r="C49" s="8" t="s">
        <v>45</v>
      </c>
      <c r="E49" s="9" t="s">
        <v>46</v>
      </c>
      <c r="F49" s="31">
        <f>SUM(F8:F48)-F42</f>
        <v>207277.30000000008</v>
      </c>
      <c r="G49" s="34"/>
    </row>
    <row r="50" spans="3:8" x14ac:dyDescent="0.2">
      <c r="E50" s="26" t="s">
        <v>100</v>
      </c>
      <c r="F50" s="10">
        <f>F49*0.08525</f>
        <v>17670.389825000009</v>
      </c>
      <c r="G50" s="34"/>
    </row>
    <row r="51" spans="3:8" x14ac:dyDescent="0.2">
      <c r="E51" s="9" t="s">
        <v>47</v>
      </c>
      <c r="F51" s="10">
        <f>F42</f>
        <v>51253.02</v>
      </c>
      <c r="G51" s="34"/>
    </row>
    <row r="52" spans="3:8" x14ac:dyDescent="0.2">
      <c r="E52" s="11" t="s">
        <v>48</v>
      </c>
      <c r="F52" s="12">
        <f>SUM(F8:F45)</f>
        <v>258530.32000000007</v>
      </c>
      <c r="G52" s="35"/>
      <c r="H52" s="27">
        <f>SUM(F49:F51)</f>
        <v>276200.70982500009</v>
      </c>
    </row>
    <row r="53" spans="3:8" x14ac:dyDescent="0.2">
      <c r="E53" s="26" t="s">
        <v>94</v>
      </c>
      <c r="H53" s="28">
        <f>H52*0.1</f>
        <v>27620.070982500009</v>
      </c>
    </row>
    <row r="54" spans="3:8" x14ac:dyDescent="0.2">
      <c r="E54" s="11" t="s">
        <v>95</v>
      </c>
      <c r="F54" s="29"/>
      <c r="G54" s="29"/>
      <c r="H54" s="30">
        <f>H52+H53</f>
        <v>303820.78080750012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4D642-2015-4F42-A944-5629052DEDB0}">
  <dimension ref="A1"/>
  <sheetViews>
    <sheetView workbookViewId="0"/>
  </sheetViews>
  <sheetFormatPr baseColWidth="10" defaultRowHeight="15" x14ac:dyDescent="0.2"/>
  <sheetData>
    <row r="1" spans="1:1" x14ac:dyDescent="0.2">
      <c r="A1" t="s">
        <v>129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12afef-9f4e-4511-a60c-36df6704e051}" enabled="1" method="Standard" siteId="{4e9dbbfb-394a-4583-8810-53f81f819e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Window Estimate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Lu, Bill</cp:lastModifiedBy>
  <cp:revision>0</cp:revision>
  <dcterms:created xsi:type="dcterms:W3CDTF">2026-05-31T13:32:08Z</dcterms:created>
  <dcterms:modified xsi:type="dcterms:W3CDTF">2026-06-28T16:29:34Z</dcterms:modified>
  <dc:language>en-US</dc:language>
</cp:coreProperties>
</file>