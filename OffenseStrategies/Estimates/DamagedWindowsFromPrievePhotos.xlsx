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lu/Projects/FarmersInsurance-github/OffenseStrategies/Estimates/"/>
    </mc:Choice>
  </mc:AlternateContent>
  <xr:revisionPtr revIDLastSave="0" documentId="13_ncr:1_{963A0D27-86AD-9640-BAC8-5598E1131F4C}" xr6:coauthVersionLast="47" xr6:coauthVersionMax="47" xr10:uidLastSave="{00000000-0000-0000-0000-000000000000}"/>
  <bookViews>
    <workbookView xWindow="45820" yWindow="3200" windowWidth="27140" windowHeight="18400" xr2:uid="{6BADC156-4335-9445-B56E-769EE49F1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D20" i="1"/>
  <c r="D48" i="1" s="1"/>
</calcChain>
</file>

<file path=xl/sharedStrings.xml><?xml version="1.0" encoding="utf-8"?>
<sst xmlns="http://schemas.openxmlformats.org/spreadsheetml/2006/main" count="139" uniqueCount="120">
  <si>
    <t>Location</t>
  </si>
  <si>
    <t>Description</t>
  </si>
  <si>
    <t>Size</t>
  </si>
  <si>
    <t>Notes</t>
  </si>
  <si>
    <t xml:space="preserve">First Floor, Dining Room </t>
  </si>
  <si>
    <t>3 -sashes window</t>
  </si>
  <si>
    <t>72 x 52</t>
  </si>
  <si>
    <t>Estimate from Pella</t>
  </si>
  <si>
    <t>2 of the 3 sashes have new dents: A-39, A-40, A-41</t>
  </si>
  <si>
    <t>Second floor, bedroom above dining room</t>
  </si>
  <si>
    <t>3-sshes window</t>
  </si>
  <si>
    <t>A-45</t>
  </si>
  <si>
    <t>Foyer</t>
  </si>
  <si>
    <t>A-49, A-50</t>
  </si>
  <si>
    <t>First floor, living room</t>
  </si>
  <si>
    <t>72 x 70</t>
  </si>
  <si>
    <t>A-54, A-55, A-56</t>
  </si>
  <si>
    <t>Second floor, bedroom above living room</t>
  </si>
  <si>
    <t>A-64</t>
  </si>
  <si>
    <t>A-78</t>
  </si>
  <si>
    <t xml:space="preserve">South side, the lower main stairway window group </t>
  </si>
  <si>
    <t xml:space="preserve">South side, the upper main  stairway window group </t>
  </si>
  <si>
    <t>78 x 52</t>
  </si>
  <si>
    <t>A-81, A-82</t>
  </si>
  <si>
    <t xml:space="preserve">South side, the lower  stairway window group </t>
  </si>
  <si>
    <t>Family room, upper south-east facing</t>
  </si>
  <si>
    <t>22 x 58</t>
  </si>
  <si>
    <t>A-107</t>
  </si>
  <si>
    <t>W-229</t>
  </si>
  <si>
    <t>Family room, 3 sashes main window</t>
  </si>
  <si>
    <t>W-234,235,236</t>
  </si>
  <si>
    <t>72 x 58</t>
  </si>
  <si>
    <t>A-115, A--6, A-117</t>
  </si>
  <si>
    <t>Family room, 3 sashes upper  window</t>
  </si>
  <si>
    <t>W-231-233</t>
  </si>
  <si>
    <t xml:space="preserve">72 x 58 </t>
  </si>
  <si>
    <t>A-121, A-122-123</t>
  </si>
  <si>
    <t>Family room, North-east facing, lower</t>
  </si>
  <si>
    <t>22 x 60</t>
  </si>
  <si>
    <t>Family room, North-east facing, upper</t>
  </si>
  <si>
    <t>W 238 (not in extimate)</t>
  </si>
  <si>
    <t>W 237</t>
  </si>
  <si>
    <t>Labor for windows, doors, interior casing</t>
  </si>
  <si>
    <t>Wood products 2 1/2 Colonial</t>
  </si>
  <si>
    <t>Lift</t>
  </si>
  <si>
    <t>A-126, A-127, A-128</t>
  </si>
  <si>
    <t>A-134, A-135</t>
  </si>
  <si>
    <t>South-East facing by sliding door</t>
  </si>
  <si>
    <t>A-139, A-140</t>
  </si>
  <si>
    <t>A-141</t>
  </si>
  <si>
    <t>Family room, toppest windows - south window</t>
  </si>
  <si>
    <t>W-378</t>
  </si>
  <si>
    <t>A-143, A-144</t>
  </si>
  <si>
    <t>18 x 26</t>
  </si>
  <si>
    <t>Family room, toppest windows - other 4 windows</t>
  </si>
  <si>
    <t>W 389-382</t>
  </si>
  <si>
    <t>Master bedroom, south-east facing</t>
  </si>
  <si>
    <t>A-148 (trim), A-149,  2.4.6</t>
  </si>
  <si>
    <t>W-383</t>
  </si>
  <si>
    <t>Master bedroom, picture window</t>
  </si>
  <si>
    <t>54 x 60</t>
  </si>
  <si>
    <t>2.4.1, A-153, A-156</t>
  </si>
  <si>
    <t>Master bedroom, North-east facing</t>
  </si>
  <si>
    <t>W-384</t>
  </si>
  <si>
    <t>W-385</t>
  </si>
  <si>
    <t>A-158</t>
  </si>
  <si>
    <t>A-162, A-163</t>
  </si>
  <si>
    <t>W-386</t>
  </si>
  <si>
    <t>34 x 48</t>
  </si>
  <si>
    <t>Porth, southeast window</t>
  </si>
  <si>
    <t>A-166 (left side of sash), 2.3.1 (bottom frame)</t>
  </si>
  <si>
    <t>W 240</t>
  </si>
  <si>
    <t>Porth, picture  window</t>
  </si>
  <si>
    <t>W 241</t>
  </si>
  <si>
    <t>72 x 64</t>
  </si>
  <si>
    <t>Porch, Northeast window</t>
  </si>
  <si>
    <t>W 242</t>
  </si>
  <si>
    <t>A-174, 2.3.4</t>
  </si>
  <si>
    <t>Porch, north-facing</t>
  </si>
  <si>
    <t>W 243, 244</t>
  </si>
  <si>
    <t>48 x 64</t>
  </si>
  <si>
    <t>W 245, 246</t>
  </si>
  <si>
    <t>A-179, 2.3.5</t>
  </si>
  <si>
    <t>A-183, 2.3.6</t>
  </si>
  <si>
    <t>Kitchen, east facing</t>
  </si>
  <si>
    <t>Missing</t>
  </si>
  <si>
    <t>A-185, 2.5.1</t>
  </si>
  <si>
    <t>2.5.2</t>
  </si>
  <si>
    <t>Kitchen, north facing</t>
  </si>
  <si>
    <t>W 249, 250</t>
  </si>
  <si>
    <t>W 247, 248</t>
  </si>
  <si>
    <t>Master bathroom, north facing</t>
  </si>
  <si>
    <t>Master bathroom, east facing</t>
  </si>
  <si>
    <t>W-387</t>
  </si>
  <si>
    <t>A-206</t>
  </si>
  <si>
    <t>Office (east facing)</t>
  </si>
  <si>
    <t>W-252-253</t>
  </si>
  <si>
    <t>A-200, 2.6.1</t>
  </si>
  <si>
    <t>Bedroom above office</t>
  </si>
  <si>
    <t>W-388-390</t>
  </si>
  <si>
    <t>2.7.1, 2.7.2</t>
  </si>
  <si>
    <t>Garabge (behind the shed)</t>
  </si>
  <si>
    <t>2.8.2, 2.8.3</t>
  </si>
  <si>
    <t>W254, 255</t>
  </si>
  <si>
    <t>48 x 48</t>
  </si>
  <si>
    <t>Garabge North</t>
  </si>
  <si>
    <t>W256, 257</t>
  </si>
  <si>
    <t>2.8.1</t>
  </si>
  <si>
    <t>Family room, lower south-east facing</t>
  </si>
  <si>
    <t>W-230</t>
  </si>
  <si>
    <t>2.1.10</t>
  </si>
  <si>
    <t>W 239</t>
  </si>
  <si>
    <t>Sliding door (Nook SGD-3)</t>
  </si>
  <si>
    <t>Nook SGD-3</t>
  </si>
  <si>
    <t>Porch SGD-1</t>
  </si>
  <si>
    <t>Sliding door (Porch SGD-1)</t>
  </si>
  <si>
    <t>61 - 3/4" X 81 - 1/2"</t>
  </si>
  <si>
    <t>Custom Arch</t>
  </si>
  <si>
    <t>Bedroom below office</t>
  </si>
  <si>
    <t>Above Laundry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</si>
</sst>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9</xdr:row>
      <xdr:rowOff>101600</xdr:rowOff>
    </xdr:from>
    <xdr:to>
      <xdr:col>2</xdr:col>
      <xdr:colOff>317500</xdr:colOff>
      <xdr:row>9</xdr:row>
      <xdr:rowOff>627391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0E095-0640-54CB-95A6-BB4FD3DA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1930400"/>
          <a:ext cx="1155700" cy="525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EE3E-1567-0942-83C2-0818924E2DD9}">
  <dimension ref="A1:E48"/>
  <sheetViews>
    <sheetView tabSelected="1" workbookViewId="0">
      <selection activeCell="J31" sqref="J31"/>
    </sheetView>
  </sheetViews>
  <sheetFormatPr baseColWidth="10" defaultRowHeight="16" x14ac:dyDescent="0.2"/>
  <cols>
    <col min="1" max="1" width="35" customWidth="1"/>
    <col min="2" max="2" width="12" customWidth="1"/>
    <col min="3" max="3" width="16.1640625" customWidth="1"/>
    <col min="4" max="4" width="20" customWidth="1"/>
    <col min="5" max="5" width="31.8320312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7</v>
      </c>
      <c r="E1" s="4" t="s">
        <v>3</v>
      </c>
    </row>
    <row r="2" spans="1:5" ht="34" x14ac:dyDescent="0.2">
      <c r="A2" t="s">
        <v>4</v>
      </c>
      <c r="B2" t="s">
        <v>5</v>
      </c>
      <c r="C2" s="3" t="s">
        <v>6</v>
      </c>
      <c r="D2" s="8">
        <v>7602.17</v>
      </c>
      <c r="E2" s="9" t="s">
        <v>8</v>
      </c>
    </row>
    <row r="3" spans="1:5" ht="17" x14ac:dyDescent="0.2">
      <c r="A3" t="s">
        <v>9</v>
      </c>
      <c r="B3" t="s">
        <v>10</v>
      </c>
      <c r="C3" s="3" t="s">
        <v>6</v>
      </c>
      <c r="D3" s="8">
        <v>7602.17</v>
      </c>
      <c r="E3" s="9" t="s">
        <v>11</v>
      </c>
    </row>
    <row r="4" spans="1:5" ht="17" x14ac:dyDescent="0.2">
      <c r="A4" t="s">
        <v>12</v>
      </c>
      <c r="C4" s="3"/>
      <c r="D4" s="8">
        <v>7085.76</v>
      </c>
      <c r="E4" s="9" t="s">
        <v>13</v>
      </c>
    </row>
    <row r="5" spans="1:5" ht="17" x14ac:dyDescent="0.2">
      <c r="A5" t="s">
        <v>14</v>
      </c>
      <c r="C5" s="3" t="s">
        <v>15</v>
      </c>
      <c r="D5" s="8">
        <v>13311.3</v>
      </c>
      <c r="E5" s="9" t="s">
        <v>16</v>
      </c>
    </row>
    <row r="6" spans="1:5" ht="17" x14ac:dyDescent="0.2">
      <c r="A6" t="s">
        <v>17</v>
      </c>
      <c r="C6" s="3" t="s">
        <v>6</v>
      </c>
      <c r="D6" s="8">
        <v>7602.17</v>
      </c>
      <c r="E6" s="9" t="s">
        <v>18</v>
      </c>
    </row>
    <row r="7" spans="1:5" x14ac:dyDescent="0.2">
      <c r="C7" s="3"/>
      <c r="D7" s="2"/>
      <c r="E7" s="9"/>
    </row>
    <row r="8" spans="1:5" x14ac:dyDescent="0.2">
      <c r="C8" s="3"/>
      <c r="D8" s="2"/>
      <c r="E8" s="9"/>
    </row>
    <row r="9" spans="1:5" ht="17" x14ac:dyDescent="0.2">
      <c r="A9" t="s">
        <v>20</v>
      </c>
      <c r="C9" s="3" t="s">
        <v>22</v>
      </c>
      <c r="D9" s="8">
        <v>8025.57</v>
      </c>
      <c r="E9" s="9" t="s">
        <v>23</v>
      </c>
    </row>
    <row r="10" spans="1:5" ht="56" customHeight="1" x14ac:dyDescent="0.2">
      <c r="A10" t="s">
        <v>21</v>
      </c>
      <c r="C10" s="3"/>
      <c r="D10" s="8">
        <v>6686.91</v>
      </c>
      <c r="E10" s="9"/>
    </row>
    <row r="11" spans="1:5" ht="17" x14ac:dyDescent="0.2">
      <c r="A11" t="s">
        <v>24</v>
      </c>
      <c r="C11" s="3" t="s">
        <v>6</v>
      </c>
      <c r="D11" s="8">
        <v>7602.21</v>
      </c>
      <c r="E11" s="9" t="s">
        <v>19</v>
      </c>
    </row>
    <row r="12" spans="1:5" x14ac:dyDescent="0.2">
      <c r="C12" s="3"/>
      <c r="D12" s="2"/>
      <c r="E12" s="9"/>
    </row>
    <row r="13" spans="1:5" ht="17" x14ac:dyDescent="0.2">
      <c r="A13" t="s">
        <v>25</v>
      </c>
      <c r="B13" t="s">
        <v>28</v>
      </c>
      <c r="C13" s="3" t="s">
        <v>26</v>
      </c>
      <c r="D13" s="8">
        <v>2493.48</v>
      </c>
      <c r="E13" s="9" t="s">
        <v>27</v>
      </c>
    </row>
    <row r="14" spans="1:5" ht="17" x14ac:dyDescent="0.2">
      <c r="A14" t="s">
        <v>108</v>
      </c>
      <c r="B14" t="s">
        <v>109</v>
      </c>
      <c r="C14" s="3" t="s">
        <v>26</v>
      </c>
      <c r="D14" s="8">
        <v>2493.48</v>
      </c>
      <c r="E14" s="9" t="s">
        <v>110</v>
      </c>
    </row>
    <row r="15" spans="1:5" ht="17" x14ac:dyDescent="0.2">
      <c r="A15" t="s">
        <v>29</v>
      </c>
      <c r="B15" t="s">
        <v>30</v>
      </c>
      <c r="C15" s="3" t="s">
        <v>31</v>
      </c>
      <c r="D15" s="8">
        <v>7957.75</v>
      </c>
      <c r="E15" s="9" t="s">
        <v>32</v>
      </c>
    </row>
    <row r="16" spans="1:5" ht="17" x14ac:dyDescent="0.2">
      <c r="A16" t="s">
        <v>33</v>
      </c>
      <c r="B16" t="s">
        <v>34</v>
      </c>
      <c r="C16" s="3" t="s">
        <v>35</v>
      </c>
      <c r="D16" s="8">
        <v>7957.75</v>
      </c>
      <c r="E16" s="9" t="s">
        <v>36</v>
      </c>
    </row>
    <row r="17" spans="1:5" ht="17" x14ac:dyDescent="0.2">
      <c r="A17" t="s">
        <v>37</v>
      </c>
      <c r="B17" t="s">
        <v>40</v>
      </c>
      <c r="C17" s="3" t="s">
        <v>38</v>
      </c>
      <c r="D17" s="8">
        <v>2493.48</v>
      </c>
      <c r="E17" s="9" t="s">
        <v>45</v>
      </c>
    </row>
    <row r="18" spans="1:5" ht="17" x14ac:dyDescent="0.2">
      <c r="A18" t="s">
        <v>39</v>
      </c>
      <c r="B18" t="s">
        <v>41</v>
      </c>
      <c r="C18" s="3" t="s">
        <v>26</v>
      </c>
      <c r="D18" s="8">
        <v>2493.48</v>
      </c>
      <c r="E18" s="9" t="s">
        <v>46</v>
      </c>
    </row>
    <row r="19" spans="1:5" ht="17" x14ac:dyDescent="0.2">
      <c r="A19" t="s">
        <v>50</v>
      </c>
      <c r="B19" t="s">
        <v>51</v>
      </c>
      <c r="C19" s="3" t="s">
        <v>53</v>
      </c>
      <c r="D19" s="8">
        <v>1693.95</v>
      </c>
      <c r="E19" s="9" t="s">
        <v>52</v>
      </c>
    </row>
    <row r="20" spans="1:5" x14ac:dyDescent="0.2">
      <c r="A20" t="s">
        <v>54</v>
      </c>
      <c r="B20" t="s">
        <v>55</v>
      </c>
      <c r="C20" s="3" t="s">
        <v>53</v>
      </c>
      <c r="D20" s="8">
        <f>1693.95*4</f>
        <v>6775.8</v>
      </c>
      <c r="E20" s="9"/>
    </row>
    <row r="21" spans="1:5" ht="17" x14ac:dyDescent="0.2">
      <c r="A21" t="s">
        <v>47</v>
      </c>
      <c r="B21" t="s">
        <v>111</v>
      </c>
      <c r="C21" s="3" t="s">
        <v>38</v>
      </c>
      <c r="D21" s="8">
        <v>2525.98</v>
      </c>
      <c r="E21" s="9" t="s">
        <v>48</v>
      </c>
    </row>
    <row r="22" spans="1:5" ht="17" x14ac:dyDescent="0.2">
      <c r="A22" t="s">
        <v>112</v>
      </c>
      <c r="B22" t="s">
        <v>113</v>
      </c>
      <c r="C22" s="3" t="s">
        <v>116</v>
      </c>
      <c r="D22" s="8">
        <v>9927.32</v>
      </c>
      <c r="E22" s="9" t="s">
        <v>49</v>
      </c>
    </row>
    <row r="23" spans="1:5" x14ac:dyDescent="0.2">
      <c r="A23" t="s">
        <v>115</v>
      </c>
      <c r="B23" t="s">
        <v>114</v>
      </c>
      <c r="C23" s="3" t="s">
        <v>116</v>
      </c>
      <c r="D23" s="8">
        <v>9927.32</v>
      </c>
      <c r="E23" s="9"/>
    </row>
    <row r="24" spans="1:5" ht="17" x14ac:dyDescent="0.2">
      <c r="A24" t="s">
        <v>56</v>
      </c>
      <c r="B24" t="s">
        <v>58</v>
      </c>
      <c r="C24" s="3" t="s">
        <v>38</v>
      </c>
      <c r="D24" s="8">
        <v>2525.98</v>
      </c>
      <c r="E24" s="9" t="s">
        <v>57</v>
      </c>
    </row>
    <row r="25" spans="1:5" ht="17" x14ac:dyDescent="0.2">
      <c r="A25" t="s">
        <v>59</v>
      </c>
      <c r="B25" t="s">
        <v>63</v>
      </c>
      <c r="C25" s="3" t="s">
        <v>60</v>
      </c>
      <c r="D25" s="8">
        <v>3205.31</v>
      </c>
      <c r="E25" s="9" t="s">
        <v>61</v>
      </c>
    </row>
    <row r="26" spans="1:5" ht="17" x14ac:dyDescent="0.2">
      <c r="A26" t="s">
        <v>62</v>
      </c>
      <c r="B26" t="s">
        <v>64</v>
      </c>
      <c r="C26" s="3" t="s">
        <v>38</v>
      </c>
      <c r="D26" s="8">
        <v>2525.98</v>
      </c>
      <c r="E26" s="9" t="s">
        <v>65</v>
      </c>
    </row>
    <row r="27" spans="1:5" ht="17" x14ac:dyDescent="0.2">
      <c r="A27" t="s">
        <v>92</v>
      </c>
      <c r="B27" t="s">
        <v>67</v>
      </c>
      <c r="C27" s="3" t="s">
        <v>68</v>
      </c>
      <c r="D27" s="8">
        <v>2576.7199999999998</v>
      </c>
      <c r="E27" s="9" t="s">
        <v>66</v>
      </c>
    </row>
    <row r="28" spans="1:5" ht="17" x14ac:dyDescent="0.2">
      <c r="A28" t="s">
        <v>91</v>
      </c>
      <c r="B28" t="s">
        <v>93</v>
      </c>
      <c r="C28" s="3" t="s">
        <v>68</v>
      </c>
      <c r="D28" s="8">
        <v>2355.16</v>
      </c>
      <c r="E28" s="9" t="s">
        <v>94</v>
      </c>
    </row>
    <row r="29" spans="1:5" ht="34" x14ac:dyDescent="0.2">
      <c r="A29" t="s">
        <v>69</v>
      </c>
      <c r="B29" t="s">
        <v>71</v>
      </c>
      <c r="C29" s="3" t="s">
        <v>38</v>
      </c>
      <c r="D29" s="8">
        <v>2525.98</v>
      </c>
      <c r="E29" s="9" t="s">
        <v>70</v>
      </c>
    </row>
    <row r="30" spans="1:5" x14ac:dyDescent="0.2">
      <c r="A30" t="s">
        <v>72</v>
      </c>
      <c r="B30" t="s">
        <v>73</v>
      </c>
      <c r="C30" s="3" t="s">
        <v>74</v>
      </c>
      <c r="D30" s="8">
        <v>3135.92</v>
      </c>
      <c r="E30" s="9"/>
    </row>
    <row r="31" spans="1:5" ht="17" x14ac:dyDescent="0.2">
      <c r="A31" t="s">
        <v>75</v>
      </c>
      <c r="B31" t="s">
        <v>76</v>
      </c>
      <c r="C31" s="3" t="s">
        <v>38</v>
      </c>
      <c r="D31" s="8">
        <v>2525.98</v>
      </c>
      <c r="E31" s="9" t="s">
        <v>77</v>
      </c>
    </row>
    <row r="32" spans="1:5" ht="17" x14ac:dyDescent="0.2">
      <c r="A32" t="s">
        <v>78</v>
      </c>
      <c r="B32" t="s">
        <v>79</v>
      </c>
      <c r="C32" s="3" t="s">
        <v>80</v>
      </c>
      <c r="D32" s="8">
        <v>5434.84</v>
      </c>
      <c r="E32" s="9" t="s">
        <v>82</v>
      </c>
    </row>
    <row r="33" spans="1:5" x14ac:dyDescent="0.2">
      <c r="A33" t="s">
        <v>78</v>
      </c>
      <c r="B33" t="s">
        <v>81</v>
      </c>
      <c r="C33" s="3" t="s">
        <v>80</v>
      </c>
      <c r="D33" s="8">
        <v>5434.84</v>
      </c>
      <c r="E33" t="s">
        <v>83</v>
      </c>
    </row>
    <row r="34" spans="1:5" x14ac:dyDescent="0.2">
      <c r="A34" s="5" t="s">
        <v>84</v>
      </c>
      <c r="B34" s="5" t="s">
        <v>90</v>
      </c>
      <c r="C34" s="6"/>
      <c r="D34" s="7" t="s">
        <v>85</v>
      </c>
      <c r="E34" s="5" t="s">
        <v>86</v>
      </c>
    </row>
    <row r="35" spans="1:5" x14ac:dyDescent="0.2">
      <c r="A35" s="5" t="s">
        <v>88</v>
      </c>
      <c r="B35" s="5" t="s">
        <v>89</v>
      </c>
      <c r="C35" s="6"/>
      <c r="D35" s="7" t="s">
        <v>85</v>
      </c>
      <c r="E35" s="5" t="s">
        <v>87</v>
      </c>
    </row>
    <row r="36" spans="1:5" x14ac:dyDescent="0.2">
      <c r="A36" t="s">
        <v>95</v>
      </c>
      <c r="B36" t="s">
        <v>96</v>
      </c>
      <c r="C36" s="3" t="s">
        <v>6</v>
      </c>
      <c r="D36" s="8">
        <v>7602.17</v>
      </c>
      <c r="E36" t="s">
        <v>97</v>
      </c>
    </row>
    <row r="37" spans="1:5" x14ac:dyDescent="0.2">
      <c r="A37" t="s">
        <v>98</v>
      </c>
      <c r="B37" t="s">
        <v>99</v>
      </c>
      <c r="C37" s="3" t="s">
        <v>6</v>
      </c>
      <c r="D37" s="8">
        <v>7602.17</v>
      </c>
      <c r="E37" t="s">
        <v>100</v>
      </c>
    </row>
    <row r="38" spans="1:5" x14ac:dyDescent="0.2">
      <c r="A38" t="s">
        <v>101</v>
      </c>
      <c r="B38" t="s">
        <v>103</v>
      </c>
      <c r="C38" s="3" t="s">
        <v>104</v>
      </c>
      <c r="D38" s="8">
        <v>4762.38</v>
      </c>
      <c r="E38" t="s">
        <v>102</v>
      </c>
    </row>
    <row r="39" spans="1:5" x14ac:dyDescent="0.2">
      <c r="A39" t="s">
        <v>105</v>
      </c>
      <c r="B39" t="s">
        <v>106</v>
      </c>
      <c r="C39" s="3" t="s">
        <v>104</v>
      </c>
      <c r="D39" s="8">
        <v>4762.38</v>
      </c>
      <c r="E39" t="s">
        <v>107</v>
      </c>
    </row>
    <row r="40" spans="1:5" x14ac:dyDescent="0.2">
      <c r="C40" s="3"/>
      <c r="D40" s="2"/>
    </row>
    <row r="41" spans="1:5" x14ac:dyDescent="0.2">
      <c r="A41" t="s">
        <v>118</v>
      </c>
      <c r="C41" s="3"/>
      <c r="D41" s="2">
        <v>7602.17</v>
      </c>
    </row>
    <row r="42" spans="1:5" x14ac:dyDescent="0.2">
      <c r="A42" t="s">
        <v>119</v>
      </c>
      <c r="C42" s="3"/>
      <c r="D42" s="2">
        <f>2240.49*2</f>
        <v>4480.9799999999996</v>
      </c>
    </row>
    <row r="43" spans="1:5" x14ac:dyDescent="0.2">
      <c r="C43" s="3"/>
      <c r="D43" s="2"/>
    </row>
    <row r="44" spans="1:5" x14ac:dyDescent="0.2">
      <c r="A44" t="s">
        <v>42</v>
      </c>
      <c r="C44" s="3"/>
      <c r="D44" s="2">
        <v>51253.02</v>
      </c>
    </row>
    <row r="45" spans="1:5" x14ac:dyDescent="0.2">
      <c r="A45" t="s">
        <v>43</v>
      </c>
      <c r="D45" s="2">
        <v>10500.93</v>
      </c>
    </row>
    <row r="46" spans="1:5" x14ac:dyDescent="0.2">
      <c r="A46" t="s">
        <v>44</v>
      </c>
      <c r="D46" s="2">
        <v>3404.7</v>
      </c>
    </row>
    <row r="47" spans="1:5" x14ac:dyDescent="0.2">
      <c r="A47" t="s">
        <v>117</v>
      </c>
      <c r="D47" s="2">
        <v>2054.6999999999998</v>
      </c>
    </row>
    <row r="48" spans="1:5" x14ac:dyDescent="0.2">
      <c r="D48" s="1">
        <f>SUM(D2:D47)</f>
        <v>258530.36000000007</v>
      </c>
    </row>
  </sheetData>
  <pageMargins left="0.7" right="0.7" top="0.75" bottom="0.75" header="0.3" footer="0.3"/>
  <pageSetup orientation="landscape" horizontalDpi="0" verticalDpi="0"/>
  <drawing r:id="rId1"/>
</worksheet>
</file>

<file path=docMetadata/LabelInfo.xml><?xml version="1.0" encoding="utf-8"?>
<clbl:labelList xmlns:clbl="http://schemas.microsoft.com/office/2020/mipLabelMetadata">
  <clbl:label id="{1712afef-9f4e-4511-a60c-36df6704e051}" enabled="1" method="Standard" siteId="{4e9dbbfb-394a-4583-8810-53f81f819e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Bill</dc:creator>
  <cp:lastModifiedBy>Lu, Bill</cp:lastModifiedBy>
  <cp:lastPrinted>2026-09-20T21:31:30Z</cp:lastPrinted>
  <dcterms:created xsi:type="dcterms:W3CDTF">2026-05-25T20:16:42Z</dcterms:created>
  <dcterms:modified xsi:type="dcterms:W3CDTF">2026-09-20T22:51:08Z</dcterms:modified>
</cp:coreProperties>
</file>