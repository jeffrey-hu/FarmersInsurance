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pe Tracker" sheetId="1" state="visible" r:id="rId3"/>
    <sheet name="Summary" sheetId="2" state="visible" r:id="rId4"/>
    <sheet name="Legend &amp; Notes" sheetId="3" state="visible" r:id="rId5"/>
  </sheets>
  <definedNames>
    <definedName function="false" hidden="true" localSheetId="0" name="_xlnm._FilterDatabase" vbProcedure="false">'Scope Tracker'!$A$1:$N$37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<sst xmlns="http://schemas.openxmlformats.org/spreadsheetml/2006/main" count="517" uniqueCount="241">
  <si>
    <t xml:space="preserve">ID</t>
  </si>
  <si>
    <t xml:space="preserve">Item / Location</t>
  </si>
  <si>
    <t xml:space="preserve">Area / Elevation</t>
  </si>
  <si>
    <t xml:space="preserve">Component Type</t>
  </si>
  <si>
    <t xml:space="preserve">Prieve Photo Appendix A</t>
  </si>
  <si>
    <t xml:space="preserve">Damage Documented</t>
  </si>
  <si>
    <t xml:space="preserve">Prieve's Attribution</t>
  </si>
  <si>
    <t xml:space="preserve">Submitted to Panel? (Aug 3 2025 demand)</t>
  </si>
  <si>
    <t xml:space="preserve">Panel Evaluated?</t>
  </si>
  <si>
    <t xml:space="preserve">Status Category</t>
  </si>
  <si>
    <t xml:space="preserve">Award Status / Value</t>
  </si>
  <si>
    <t xml:space="preserve">Our Coverage Theory (why it stays live)</t>
  </si>
  <si>
    <t xml:space="preserve">Source (Compl./Answer ¶)</t>
  </si>
  <si>
    <t xml:space="preserve">Evidence to Gather (discovery ref)</t>
  </si>
  <si>
    <t xml:space="preserve">Front/west triple window (award code "F1.7")</t>
  </si>
  <si>
    <t xml:space="preserve">Front / West</t>
  </si>
  <si>
    <t xml:space="preserve">Window</t>
  </si>
  <si>
    <t xml:space="preserve">Award code F1.7; Prieve p.4 ("rounded dents … at sashes")</t>
  </si>
  <si>
    <t xml:space="preserve">Hail dents at sashes</t>
  </si>
  <si>
    <t xml:space="preserve">Hail (awarded)</t>
  </si>
  <si>
    <t xml:space="preserve">Yes — Windows</t>
  </si>
  <si>
    <t xml:space="preserve">Yes — evaluated &amp; awarded</t>
  </si>
  <si>
    <t xml:space="preserve">AWARDED</t>
  </si>
  <si>
    <t xml:space="preserve">Awarded; part of $12,800 RCV / $6,400 ACV lump sum (2 windows)</t>
  </si>
  <si>
    <t xml:space="preserve">Baseline covered window; Quade causation finding binds FIE</t>
  </si>
  <si>
    <t xml:space="preserve">Ans ¶¶31,48</t>
  </si>
  <si>
    <t xml:space="preserve">Award allocation per unit (Rog; clarification)</t>
  </si>
  <si>
    <t xml:space="preserve">Family-room window, rear/east (award code "B1.2")</t>
  </si>
  <si>
    <t xml:space="preserve">Rear / East</t>
  </si>
  <si>
    <t xml:space="preserve">Award code B1.2; incl. 2014 Semco sash</t>
  </si>
  <si>
    <t xml:space="preserve">Hail dents</t>
  </si>
  <si>
    <t xml:space="preserve">Awarded; part of lump sum</t>
  </si>
  <si>
    <t xml:space="preserve">Covered; matching issue — 2014 Semco sash, Cedar Bluff / J6944</t>
  </si>
  <si>
    <t xml:space="preserve">Ans ¶¶31,42,51</t>
  </si>
  <si>
    <t xml:space="preserve">Per-sash value; matching cost evidence</t>
  </si>
  <si>
    <t xml:space="preserve">Front dining-room window (three-sash)</t>
  </si>
  <si>
    <t xml:space="preserve">Front</t>
  </si>
  <si>
    <t xml:space="preserve">Appraiser-documented; photos not specified</t>
  </si>
  <si>
    <t xml:space="preserve">Damage documented by FIE's appraiser</t>
  </si>
  <si>
    <t xml:space="preserve">Excluded "from the prior claim"</t>
  </si>
  <si>
    <t xml:space="preserve">Disputed — excluded on prior-claim (coverage) ground</t>
  </si>
  <si>
    <t xml:space="preserve">EXCLUDED-PRIOR</t>
  </si>
  <si>
    <t xml:space="preserve">Not awarded — excluded</t>
  </si>
  <si>
    <t xml:space="preserve">2 of 3 sashes newly damaged 7/13/24 &amp; never paid; prior-payment is a coverage question for the Court, not the panel (Quade)</t>
  </si>
  <si>
    <t xml:space="preserve">Ans ¶¶37,62</t>
  </si>
  <si>
    <t xml:space="preserve">2020 file: which sash paid; per-sash 2024 damage</t>
  </si>
  <si>
    <t xml:space="preserve">Upper-west three-unit bedroom window</t>
  </si>
  <si>
    <t xml:space="preserve">Upper / West</t>
  </si>
  <si>
    <t xml:space="preserve">A-43–A-46</t>
  </si>
  <si>
    <t xml:space="preserve">Dents / marks / indentations</t>
  </si>
  <si>
    <t xml:space="preserve">Not hail (Prieve)</t>
  </si>
  <si>
    <t xml:space="preserve">No — not shown to have been evaluated</t>
  </si>
  <si>
    <t xml:space="preserve">NOT-EVALUATED</t>
  </si>
  <si>
    <t xml:space="preserve">Not awarded</t>
  </si>
  <si>
    <t xml:space="preserve">Documented hail damage the panel never evaluated; coverage &amp; amount are live for the Court (Quade)</t>
  </si>
  <si>
    <t xml:space="preserve">Ans ¶49</t>
  </si>
  <si>
    <t xml:space="preserve">Rog scope (which windows evaluated); expert causation opinion</t>
  </si>
  <si>
    <t xml:space="preserve">Upper window above main entry</t>
  </si>
  <si>
    <t xml:space="preserve">Upper / Front (entry)</t>
  </si>
  <si>
    <t xml:space="preserve">A-48–A-50</t>
  </si>
  <si>
    <t xml:space="preserve">Main-level window, west side south of entry</t>
  </si>
  <si>
    <t xml:space="preserve">West</t>
  </si>
  <si>
    <t xml:space="preserve">A-52, A-55–A-58 (dent on bottom frame A-56)</t>
  </si>
  <si>
    <t xml:space="preserve">Upper-level bedroom window, west side south of entry</t>
  </si>
  <si>
    <t xml:space="preserve">A-59–A-65</t>
  </si>
  <si>
    <t xml:space="preserve">Upper southeast-facing family-room window</t>
  </si>
  <si>
    <t xml:space="preserve">Upper / SE</t>
  </si>
  <si>
    <t xml:space="preserve">A-106, A-107 (dent w/ scrape mark A-107)</t>
  </si>
  <si>
    <t xml:space="preserve">Upper-east family-room window</t>
  </si>
  <si>
    <t xml:space="preserve">Upper / East</t>
  </si>
  <si>
    <t xml:space="preserve">A-118–A-124</t>
  </si>
  <si>
    <t xml:space="preserve">Lower northeast-facing family-room window</t>
  </si>
  <si>
    <t xml:space="preserve">NE</t>
  </si>
  <si>
    <t xml:space="preserve">A-125–A-127, A-130–A-132</t>
  </si>
  <si>
    <t xml:space="preserve">Upper northeast-facing family-room window</t>
  </si>
  <si>
    <t xml:space="preserve">Upper / NE</t>
  </si>
  <si>
    <t xml:space="preserve">A-133–A-135</t>
  </si>
  <si>
    <t xml:space="preserve">Southeast window at deck</t>
  </si>
  <si>
    <t xml:space="preserve">SE / Deck</t>
  </si>
  <si>
    <t xml:space="preserve">A-136–A-140</t>
  </si>
  <si>
    <t xml:space="preserve">Upper-east window at south quadrant</t>
  </si>
  <si>
    <t xml:space="preserve">Upper / South</t>
  </si>
  <si>
    <t xml:space="preserve">A-142–A-146</t>
  </si>
  <si>
    <t xml:space="preserve">Upper bay group — southeast-facing window</t>
  </si>
  <si>
    <t xml:space="preserve">Central</t>
  </si>
  <si>
    <t xml:space="preserve">A-147–A-152</t>
  </si>
  <si>
    <t xml:space="preserve">Upper bay group — central window</t>
  </si>
  <si>
    <t xml:space="preserve">A-153–A-156</t>
  </si>
  <si>
    <t xml:space="preserve">Upper bay group — northeast-facing window</t>
  </si>
  <si>
    <t xml:space="preserve">A-157–A-160</t>
  </si>
  <si>
    <t xml:space="preserve">Upper east window above porch</t>
  </si>
  <si>
    <t xml:space="preserve">Upper / Porch</t>
  </si>
  <si>
    <t xml:space="preserve">A-161–A-163</t>
  </si>
  <si>
    <t xml:space="preserve">Southeast window at porch</t>
  </si>
  <si>
    <t xml:space="preserve">Porch / SE</t>
  </si>
  <si>
    <t xml:space="preserve">A-164–A-166</t>
  </si>
  <si>
    <t xml:space="preserve">East-facing window at porch</t>
  </si>
  <si>
    <t xml:space="preserve">Porch / East</t>
  </si>
  <si>
    <t xml:space="preserve">A-167–A-172</t>
  </si>
  <si>
    <t xml:space="preserve">Northeast-facing window at porch</t>
  </si>
  <si>
    <t xml:space="preserve">Porch / NE</t>
  </si>
  <si>
    <t xml:space="preserve">A-173–A-175</t>
  </si>
  <si>
    <t xml:space="preserve">East-facing kitchen corner window</t>
  </si>
  <si>
    <t xml:space="preserve">Kitchen / East</t>
  </si>
  <si>
    <t xml:space="preserve">A-184–A-186</t>
  </si>
  <si>
    <t xml:space="preserve">North-facing kitchen corner window</t>
  </si>
  <si>
    <t xml:space="preserve">Kitchen / North</t>
  </si>
  <si>
    <t xml:space="preserve">A-190–A-195</t>
  </si>
  <si>
    <t xml:space="preserve">Main-level east window at north quadrant</t>
  </si>
  <si>
    <t xml:space="preserve">North / East</t>
  </si>
  <si>
    <t xml:space="preserve">A-196–A-204</t>
  </si>
  <si>
    <t xml:space="preserve">Upper-north window above kitchen</t>
  </si>
  <si>
    <t xml:space="preserve">Upper / North</t>
  </si>
  <si>
    <t xml:space="preserve">A-205, A-206</t>
  </si>
  <si>
    <t xml:space="preserve">Rear/east garage window</t>
  </si>
  <si>
    <t xml:space="preserve">Rear / East (garage)</t>
  </si>
  <si>
    <t xml:space="preserve">A-213–A-217</t>
  </si>
  <si>
    <t xml:space="preserve">North-facing porch window (four-unit)</t>
  </si>
  <si>
    <t xml:space="preserve">Porch / North</t>
  </si>
  <si>
    <t xml:space="preserve">A-176–A-183</t>
  </si>
  <si>
    <t xml:space="preserve">Two dents, "generally smooth" (Prieve p.5)</t>
  </si>
  <si>
    <t xml:space="preserve">Prieve → "a prior hail claim" (2020)</t>
  </si>
  <si>
    <t xml:space="preserve">Disputed — Prieve attributes to 2020</t>
  </si>
  <si>
    <t xml:space="preserve">DISPUTED-2020</t>
  </si>
  <si>
    <t xml:space="preserve">2020 scope reached at most two sashes; additional dented sashes exceed the prior payment — a coverage/offset question for the Court</t>
  </si>
  <si>
    <t xml:space="preserve">Ans ¶¶22,23</t>
  </si>
  <si>
    <t xml:space="preserve">2020 Xactimate line items; per-sash mapping</t>
  </si>
  <si>
    <t xml:space="preserve">Rear-of-garage two-sash fixed window (~4×4 ft, shed-obstructed)</t>
  </si>
  <si>
    <t xml:space="preserve">Rear (garage)</t>
  </si>
  <si>
    <t xml:space="preserve">NONE — absent from the 217-photo Appendix A</t>
  </si>
  <si>
    <t xml:space="preserve">Not inspected or evaluated by anyone</t>
  </si>
  <si>
    <t xml:space="preserve">n/a</t>
  </si>
  <si>
    <t xml:space="preserve">Arguably within "Windows" but never identified</t>
  </si>
  <si>
    <t xml:space="preserve">No — never inspected</t>
  </si>
  <si>
    <t xml:space="preserve">NEVER-INSPECTED</t>
  </si>
  <si>
    <t xml:space="preserve">Unevaluated item; coverage &amp; amount reserved to the Court; absence supports the missing-record / burden argument</t>
  </si>
  <si>
    <t xml:space="preserve">Ans ¶38</t>
  </si>
  <si>
    <t xml:space="preserve">Site inspection; confirm existence &amp; measurements</t>
  </si>
  <si>
    <t xml:space="preserve">Downspout — front elevation</t>
  </si>
  <si>
    <t xml:space="preserve">Downspout</t>
  </si>
  <si>
    <t xml:space="preserve">A-42</t>
  </si>
  <si>
    <t xml:space="preserve">Dented / marked</t>
  </si>
  <si>
    <t xml:space="preserve">Non-window; Prieve narrative silent</t>
  </si>
  <si>
    <t xml:space="preserve">No — not in the demand</t>
  </si>
  <si>
    <t xml:space="preserve">No — panel had no jurisdiction</t>
  </si>
  <si>
    <t xml:space="preserve">NO-JURISDICTION</t>
  </si>
  <si>
    <t xml:space="preserve">Gutters/downspouts replaced after 9/13/2021, so any dent post-dates 2020 = direct evidence of post-2020 hail; never submitted, so live for the Court</t>
  </si>
  <si>
    <t xml:space="preserve">Ans ¶¶22,49(b)</t>
  </si>
  <si>
    <t xml:space="preserve">Prieve native photos; 2021 replacement records</t>
  </si>
  <si>
    <t xml:space="preserve">Downspout — south side</t>
  </si>
  <si>
    <t xml:space="preserve">South</t>
  </si>
  <si>
    <t xml:space="preserve">A-91–A-93</t>
  </si>
  <si>
    <t xml:space="preserve">Downspout — east side</t>
  </si>
  <si>
    <t xml:space="preserve">East</t>
  </si>
  <si>
    <t xml:space="preserve">A-98, A-99</t>
  </si>
  <si>
    <t xml:space="preserve">Flashing — base of wall along deck</t>
  </si>
  <si>
    <t xml:space="preserve">Deck</t>
  </si>
  <si>
    <t xml:space="preserve">Flashing</t>
  </si>
  <si>
    <t xml:space="preserve">A-103, A-128, A-129</t>
  </si>
  <si>
    <t xml:space="preserve">Sliding-door window screen (east side of deck)</t>
  </si>
  <si>
    <t xml:space="preserve">Deck / East</t>
  </si>
  <si>
    <t xml:space="preserve">Door / screen</t>
  </si>
  <si>
    <t xml:space="preserve">A-136, A-141 (dent w/ scrape mark)</t>
  </si>
  <si>
    <t xml:space="preserve">Trim board (chipped)</t>
  </si>
  <si>
    <t xml:space="preserve">Multiple elevations</t>
  </si>
  <si>
    <t xml:space="preserve">Trim</t>
  </si>
  <si>
    <t xml:space="preserve">A-54, A-90, A-148 (A-53 visible in 2020 photo log per Prieve p.7)</t>
  </si>
  <si>
    <t xml:space="preserve">Chipped trim</t>
  </si>
  <si>
    <t xml:space="preserve">Prieve p.7 concedes A-53 in 2020 log but not in 2020 Xactimate</t>
  </si>
  <si>
    <t xml:space="preserve">No — siding-related, not in demand</t>
  </si>
  <si>
    <t xml:space="preserve">No / partial — no panel jurisdiction</t>
  </si>
  <si>
    <t xml:space="preserve">2020 photo log ≠ 2020 payment scope; unpaid observations are new/uncompensated damage for the Court</t>
  </si>
  <si>
    <t xml:space="preserve">Ans ¶23(e)</t>
  </si>
  <si>
    <t xml:space="preserve">2020 Xactimate vs. 2020 photo log</t>
  </si>
  <si>
    <t xml:space="preserve">Siding (repaint)</t>
  </si>
  <si>
    <t xml:space="preserve">Whole home</t>
  </si>
  <si>
    <t xml:space="preserve">Siding</t>
  </si>
  <si>
    <t xml:space="preserve">Award "Siding &amp; Paint" line</t>
  </si>
  <si>
    <t xml:space="preserve">Siding hail damage claimed</t>
  </si>
  <si>
    <t xml:space="preserve">Hail (award Causation col) — but $0 value</t>
  </si>
  <si>
    <t xml:space="preserve">Yes — Siding (repaint)</t>
  </si>
  <si>
    <t xml:space="preserve">Causation evaluated; value set to $0</t>
  </si>
  <si>
    <t xml:space="preserve">EVALUATED-$0</t>
  </si>
  <si>
    <t xml:space="preserve">Award: $0 RCV / $0 ACV, marked "Hail"</t>
  </si>
  <si>
    <t xml:space="preserve">A $0 award on a hail-caused item is a coverage/value determination outside the panel's authority — decided by the Court de novo (Quade)</t>
  </si>
  <si>
    <t xml:space="preserve">Ans ¶¶31,50,61</t>
  </si>
  <si>
    <t xml:space="preserve">Siding scope; expert valuation</t>
  </si>
  <si>
    <t xml:space="preserve">Siding (replace &amp; remove)</t>
  </si>
  <si>
    <t xml:space="preserve">Consolidated into "Siding &amp; Paint" line</t>
  </si>
  <si>
    <t xml:space="preserve">Siding R&amp;R claimed</t>
  </si>
  <si>
    <t xml:space="preserve">Hail; $0</t>
  </si>
  <si>
    <t xml:space="preserve">Yes — Siding (R&amp;R)</t>
  </si>
  <si>
    <t xml:space="preserve">Not separately itemized</t>
  </si>
  <si>
    <t xml:space="preserve">Award: consolidated, $0</t>
  </si>
  <si>
    <t xml:space="preserve">§ 65A.01 subd. 3 requires per-item itemization; the consolidated $0 line is not the itemized appraisal the statute requires</t>
  </si>
  <si>
    <t xml:space="preserve">Ans ¶¶30,60,61</t>
  </si>
  <si>
    <t xml:space="preserve">Remand/clarification; expert valuation</t>
  </si>
  <si>
    <t xml:space="preserve">Debris</t>
  </si>
  <si>
    <t xml:space="preserve">Debris / other</t>
  </si>
  <si>
    <t xml:space="preserve">Award "Debris" line</t>
  </si>
  <si>
    <t xml:space="preserve">—</t>
  </si>
  <si>
    <t xml:space="preserve">Not in demand as such</t>
  </si>
  <si>
    <t xml:space="preserve">Line listed at $0</t>
  </si>
  <si>
    <t xml:space="preserve">Award: $0, marked "Hail"</t>
  </si>
  <si>
    <t xml:space="preserve">$0 debris line marked Hail is a value determination, not a causation finding — Court decides value</t>
  </si>
  <si>
    <t xml:space="preserve">Ans ¶61</t>
  </si>
  <si>
    <t xml:space="preserve">Scope Summary — Lu/Hu v. Fire Insurance Exchange (No. 27-CV-26-11606)</t>
  </si>
  <si>
    <t xml:space="preserve">Auto-counts from the Scope Tracker tab (update as discovery refines the tracker).</t>
  </si>
  <si>
    <t xml:space="preserve">Category</t>
  </si>
  <si>
    <t xml:space="preserve">Count</t>
  </si>
  <si>
    <t xml:space="preserve">Total scope items tracked</t>
  </si>
  <si>
    <t xml:space="preserve">Windows/items the panel EVALUATED &amp; AWARDED</t>
  </si>
  <si>
    <t xml:space="preserve">Windows documented but NOT evaluated by the panel</t>
  </si>
  <si>
    <t xml:space="preserve">Window excluded on prior-claim (coverage) ground</t>
  </si>
  <si>
    <t xml:space="preserve">Window Prieve attributes to 2020 (disputed)</t>
  </si>
  <si>
    <t xml:space="preserve">Window never inspected by anyone</t>
  </si>
  <si>
    <t xml:space="preserve">Non-window components not submitted (no panel jurisdiction)</t>
  </si>
  <si>
    <t xml:space="preserve">Items evaluated for causation but awarded $0 (siding/debris)</t>
  </si>
  <si>
    <t xml:space="preserve">Bottom line: the panel actually evaluated &amp; awarded only</t>
  </si>
  <si>
    <t xml:space="preserve">of the items above — everything else remains live for the Court (scope) or was valued at $0 (coverage).</t>
  </si>
  <si>
    <t xml:space="preserve">Deductible math (the number to beat)</t>
  </si>
  <si>
    <t xml:space="preserve">2% windstorm/hail deductible (Coverage A $886,000)</t>
  </si>
  <si>
    <t xml:space="preserve">Appraisal award — Replacement Cost Value (2 windows)</t>
  </si>
  <si>
    <t xml:space="preserve">Appraisal award — Actual Cash Value (2 windows)</t>
  </si>
  <si>
    <t xml:space="preserve">Additional covered ACV needed to reach the deductible</t>
  </si>
  <si>
    <t xml:space="preserve">Total loss Plaintiffs claimed (Sworn Proof of Loss)</t>
  </si>
  <si>
    <t xml:space="preserve">Interpretation: the awarded ACV ($6,400) is below the deductible, so the case turns on proving enough ADDITIONAL covered hail loss (the yellow/blue/orange rows) to clear $17,720.</t>
  </si>
  <si>
    <t xml:space="preserve">How to use this tracker</t>
  </si>
  <si>
    <t xml:space="preserve">•  Purpose: map every window and exterior component to its Prieve Photo Appendix A reference and record whether the appraisal panel actually evaluated it. This feeds (1) the opposition to FIE's binding-award summary-judgment motion and (2) the § 604.18 affidavit.</t>
  </si>
  <si>
    <t xml:space="preserve">•  Core theory (Quade v. Secura, 814 N.W.2d 703): the panel's authority reaches only the items it evaluated. For everything it did not evaluate, coverage and amount of loss remain live questions for the Court. FIE, as the party asserting the award as a bar, bears the burden of showing the panel evaluated a given item.</t>
  </si>
  <si>
    <t xml:space="preserve">•  As discovery comes in, update the 'Panel Evaluated?' and 'Status Category' columns from FIE's interrogatory answers (which windows were evaluated) and fill the 'Evidence to Gather' column with Bates numbers / deposition cites.</t>
  </si>
  <si>
    <t xml:space="preserve">•  Photo references are drawn from the Complaint/Answer catalog (Answer ¶49) and should be confirmed against the native Prieve file once produced (RFP Nos. 5–6).</t>
  </si>
  <si>
    <t xml:space="preserve">Color / status legend</t>
  </si>
  <si>
    <t xml:space="preserve">AWARDED — panel evaluated &amp; awarded (Quade causation binding)</t>
  </si>
  <si>
    <t xml:space="preserve">NOT-EVALUATED — documented damage the panel never evaluated (live for Court)</t>
  </si>
  <si>
    <t xml:space="preserve">EXCLUDED-PRIOR — excluded on a prior-claim/coverage ground (Court decides, not panel)</t>
  </si>
  <si>
    <t xml:space="preserve">DISPUTED-2020 — Prieve attributes to the 2020 claim; disputed</t>
  </si>
  <si>
    <t xml:space="preserve">NEVER-INSPECTED — no inspection or photo of the item exists</t>
  </si>
  <si>
    <t xml:space="preserve">NO-JURISDICTION — component never submitted in the appraisal demand</t>
  </si>
  <si>
    <t xml:space="preserve">EVALUATED-$0 — causation marked 'Hail' but valued at $0 (coverage/value question)</t>
  </si>
  <si>
    <t xml:space="preserve">Not legal advice — a working attorney work-product tracker; confirm all photo refs and citations against the produced record.</t>
  </si>
</sst>
</file>

<file path=xl/styles.xml><?xml version="1.0" encoding="utf-8"?>
<styleSheet xmlns="http://schemas.openxmlformats.org/spreadsheetml/2006/main">
  <numFmts count="3">
    <numFmt numFmtId="164" formatCode="General"/>
    <numFmt numFmtId="165" formatCode="General"/>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3"/>
      <color rgb="FF000000"/>
      <name val="Arial"/>
      <family val="0"/>
      <charset val="1"/>
    </font>
    <font>
      <sz val="9"/>
      <color rgb="FF000000"/>
      <name val="Arial"/>
      <family val="0"/>
      <charset val="1"/>
    </font>
    <font>
      <b val="true"/>
      <sz val="11"/>
      <color rgb="FFFFFFFF"/>
      <name val="Arial"/>
      <family val="0"/>
      <charset val="1"/>
    </font>
    <font>
      <sz val="11"/>
      <color rgb="FF000000"/>
      <name val="Arial"/>
      <family val="0"/>
      <charset val="1"/>
    </font>
    <font>
      <b val="true"/>
      <sz val="11"/>
      <name val="Arial"/>
      <family val="0"/>
      <charset val="1"/>
    </font>
    <font>
      <b val="true"/>
      <sz val="11"/>
      <color rgb="FF000000"/>
      <name val="Arial"/>
      <family val="0"/>
      <charset val="1"/>
    </font>
    <font>
      <b val="true"/>
      <sz val="11"/>
      <color rgb="FFC00000"/>
      <name val="Arial"/>
      <family val="0"/>
      <charset val="1"/>
    </font>
    <font>
      <b val="true"/>
      <sz val="12"/>
      <color rgb="FFFFFFFF"/>
      <name val="Arial"/>
      <family val="0"/>
      <charset val="1"/>
    </font>
    <font>
      <sz val="11"/>
      <name val="Arial"/>
      <family val="0"/>
      <charset val="1"/>
    </font>
    <font>
      <sz val="10"/>
      <color rgb="FF000000"/>
      <name val="Arial"/>
      <family val="0"/>
      <charset val="1"/>
    </font>
    <font>
      <b val="true"/>
      <sz val="13"/>
      <name val="Arial"/>
      <family val="0"/>
      <charset val="1"/>
    </font>
    <font>
      <b val="true"/>
      <sz val="12"/>
      <name val="Arial"/>
      <family val="0"/>
      <charset val="1"/>
    </font>
    <font>
      <b val="true"/>
      <sz val="9"/>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C6EFCE"/>
        <bgColor rgb="FFE2EFDA"/>
      </patternFill>
    </fill>
    <fill>
      <patternFill patternType="solid">
        <fgColor rgb="FFFCE4D6"/>
        <bgColor rgb="FFFFF2CC"/>
      </patternFill>
    </fill>
    <fill>
      <patternFill patternType="solid">
        <fgColor rgb="FFFFF2CC"/>
        <bgColor rgb="FFFCE4D6"/>
      </patternFill>
    </fill>
    <fill>
      <patternFill patternType="solid">
        <fgColor rgb="FFD9D9D9"/>
        <bgColor rgb="FFDDEBF7"/>
      </patternFill>
    </fill>
    <fill>
      <patternFill patternType="solid">
        <fgColor rgb="FFFFC7CE"/>
        <bgColor rgb="FFFCE4D6"/>
      </patternFill>
    </fill>
    <fill>
      <patternFill patternType="solid">
        <fgColor rgb="FFDDEBF7"/>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false" indent="0" shrinkToFit="false"/>
      <protection locked="true" hidden="false"/>
    </xf>
    <xf numFmtId="164" fontId="5" fillId="8" borderId="1" xfId="0" applyFont="true" applyBorder="true" applyAlignment="true" applyProtection="false">
      <alignment horizontal="general" vertical="top" textRotation="0" wrapText="false" indent="0" shrinkToFit="false"/>
      <protection locked="true" hidden="false"/>
    </xf>
    <xf numFmtId="164" fontId="6" fillId="9" borderId="1" xfId="0" applyFont="true" applyBorder="true" applyAlignment="true" applyProtection="false">
      <alignment horizontal="general" vertical="top" textRotation="0" wrapText="false" indent="0" shrinkToFit="false"/>
      <protection locked="true" hidden="false"/>
    </xf>
    <xf numFmtId="164" fontId="5" fillId="9"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5" fontId="11"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5" fontId="11" fillId="7"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5" fontId="11" fillId="8" borderId="0" xfId="0" applyFont="true" applyBorder="false" applyAlignment="false" applyProtection="false">
      <alignment horizontal="general" vertical="bottom" textRotation="0" wrapText="fals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65" fontId="11" fillId="9"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5" fillId="3" borderId="0" xfId="0" applyFont="true" applyBorder="false" applyAlignment="true" applyProtection="false">
      <alignment horizontal="general" vertical="top" textRotation="0" wrapText="true" indent="0" shrinkToFit="false"/>
      <protection locked="true" hidden="false"/>
    </xf>
    <xf numFmtId="164" fontId="15" fillId="5" borderId="0" xfId="0" applyFont="true" applyBorder="false" applyAlignment="true" applyProtection="false">
      <alignment horizontal="general" vertical="top" textRotation="0" wrapText="true" indent="0" shrinkToFit="false"/>
      <protection locked="true" hidden="false"/>
    </xf>
    <xf numFmtId="164" fontId="15" fillId="4" borderId="0" xfId="0" applyFont="true" applyBorder="false" applyAlignment="true" applyProtection="false">
      <alignment horizontal="general" vertical="top" textRotation="0" wrapText="true" indent="0" shrinkToFit="false"/>
      <protection locked="true" hidden="false"/>
    </xf>
    <xf numFmtId="164" fontId="15" fillId="6" borderId="0" xfId="0" applyFont="true" applyBorder="false" applyAlignment="true" applyProtection="false">
      <alignment horizontal="general" vertical="top" textRotation="0" wrapText="true" indent="0" shrinkToFit="false"/>
      <protection locked="true" hidden="false"/>
    </xf>
    <xf numFmtId="164" fontId="15" fillId="7" borderId="0" xfId="0" applyFont="true" applyBorder="false" applyAlignment="true" applyProtection="false">
      <alignment horizontal="general" vertical="top" textRotation="0" wrapText="true" indent="0" shrinkToFit="false"/>
      <protection locked="true" hidden="false"/>
    </xf>
    <xf numFmtId="164" fontId="15" fillId="8" borderId="0" xfId="0" applyFont="true" applyBorder="false" applyAlignment="true" applyProtection="false">
      <alignment horizontal="general" vertical="top" textRotation="0" wrapText="true" indent="0" shrinkToFit="false"/>
      <protection locked="true" hidden="false"/>
    </xf>
    <xf numFmtId="164" fontId="15" fillId="9"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6"/>
    <col collapsed="false" customWidth="true" hidden="false" outlineLevel="0" max="4" min="4" style="0" width="14"/>
    <col collapsed="false" customWidth="true" hidden="false" outlineLevel="0" max="5" min="5" style="0" width="26"/>
    <col collapsed="false" customWidth="true" hidden="false" outlineLevel="0" max="6" min="6" style="0" width="22"/>
    <col collapsed="false" customWidth="true" hidden="false" outlineLevel="0" max="8" min="7" style="0" width="20"/>
    <col collapsed="false" customWidth="true" hidden="false" outlineLevel="0" max="9" min="9" style="0" width="22"/>
    <col collapsed="false" customWidth="true" hidden="false" outlineLevel="0" max="10" min="10" style="0" width="17"/>
    <col collapsed="false" customWidth="true" hidden="false" outlineLevel="0" max="11" min="11" style="0" width="30"/>
    <col collapsed="false" customWidth="true" hidden="false" outlineLevel="0" max="12" min="12" style="0" width="40"/>
    <col collapsed="false" customWidth="true" hidden="false" outlineLevel="0" max="13" min="13" style="0" width="16"/>
    <col collapsed="false" customWidth="true" hidden="false" outlineLevel="0" max="14" min="14" style="0" width="34"/>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23.85" hidden="false" customHeight="false" outlineLevel="0" collapsed="false">
      <c r="A2" s="2" t="n">
        <v>1</v>
      </c>
      <c r="B2" s="3" t="s">
        <v>14</v>
      </c>
      <c r="C2" s="4" t="s">
        <v>15</v>
      </c>
      <c r="D2" s="4" t="s">
        <v>16</v>
      </c>
      <c r="E2" s="3" t="s">
        <v>17</v>
      </c>
      <c r="F2" s="3" t="s">
        <v>18</v>
      </c>
      <c r="G2" s="4" t="s">
        <v>19</v>
      </c>
      <c r="H2" s="4" t="s">
        <v>20</v>
      </c>
      <c r="I2" s="5" t="s">
        <v>21</v>
      </c>
      <c r="J2" s="6" t="s">
        <v>22</v>
      </c>
      <c r="K2" s="3" t="s">
        <v>23</v>
      </c>
      <c r="L2" s="3" t="s">
        <v>24</v>
      </c>
      <c r="M2" s="4" t="s">
        <v>25</v>
      </c>
      <c r="N2" s="3" t="s">
        <v>26</v>
      </c>
    </row>
    <row r="3" customFormat="false" ht="23.85" hidden="false" customHeight="false" outlineLevel="0" collapsed="false">
      <c r="A3" s="2" t="n">
        <v>2</v>
      </c>
      <c r="B3" s="3" t="s">
        <v>27</v>
      </c>
      <c r="C3" s="4" t="s">
        <v>28</v>
      </c>
      <c r="D3" s="4" t="s">
        <v>16</v>
      </c>
      <c r="E3" s="3" t="s">
        <v>29</v>
      </c>
      <c r="F3" s="3" t="s">
        <v>30</v>
      </c>
      <c r="G3" s="4" t="s">
        <v>19</v>
      </c>
      <c r="H3" s="4" t="s">
        <v>20</v>
      </c>
      <c r="I3" s="5" t="s">
        <v>21</v>
      </c>
      <c r="J3" s="6" t="s">
        <v>22</v>
      </c>
      <c r="K3" s="3" t="s">
        <v>31</v>
      </c>
      <c r="L3" s="3" t="s">
        <v>32</v>
      </c>
      <c r="M3" s="4" t="s">
        <v>33</v>
      </c>
      <c r="N3" s="3" t="s">
        <v>34</v>
      </c>
    </row>
    <row r="4" customFormat="false" ht="35.05" hidden="false" customHeight="false" outlineLevel="0" collapsed="false">
      <c r="A4" s="2" t="n">
        <v>3</v>
      </c>
      <c r="B4" s="3" t="s">
        <v>35</v>
      </c>
      <c r="C4" s="4" t="s">
        <v>36</v>
      </c>
      <c r="D4" s="4" t="s">
        <v>16</v>
      </c>
      <c r="E4" s="3" t="s">
        <v>37</v>
      </c>
      <c r="F4" s="3" t="s">
        <v>38</v>
      </c>
      <c r="G4" s="4" t="s">
        <v>39</v>
      </c>
      <c r="H4" s="4" t="s">
        <v>20</v>
      </c>
      <c r="I4" s="7" t="s">
        <v>40</v>
      </c>
      <c r="J4" s="8" t="s">
        <v>41</v>
      </c>
      <c r="K4" s="3" t="s">
        <v>42</v>
      </c>
      <c r="L4" s="3" t="s">
        <v>43</v>
      </c>
      <c r="M4" s="4" t="s">
        <v>44</v>
      </c>
      <c r="N4" s="3" t="s">
        <v>45</v>
      </c>
    </row>
    <row r="5" customFormat="false" ht="35.05" hidden="false" customHeight="false" outlineLevel="0" collapsed="false">
      <c r="A5" s="2" t="n">
        <v>4</v>
      </c>
      <c r="B5" s="3" t="s">
        <v>46</v>
      </c>
      <c r="C5" s="4" t="s">
        <v>47</v>
      </c>
      <c r="D5" s="4" t="s">
        <v>16</v>
      </c>
      <c r="E5" s="3" t="s">
        <v>48</v>
      </c>
      <c r="F5" s="3" t="s">
        <v>49</v>
      </c>
      <c r="G5" s="4" t="s">
        <v>50</v>
      </c>
      <c r="H5" s="4" t="s">
        <v>20</v>
      </c>
      <c r="I5" s="9" t="s">
        <v>51</v>
      </c>
      <c r="J5" s="10" t="s">
        <v>52</v>
      </c>
      <c r="K5" s="3" t="s">
        <v>53</v>
      </c>
      <c r="L5" s="3" t="s">
        <v>54</v>
      </c>
      <c r="M5" s="4" t="s">
        <v>55</v>
      </c>
      <c r="N5" s="3" t="s">
        <v>56</v>
      </c>
    </row>
    <row r="6" customFormat="false" ht="35.05" hidden="false" customHeight="false" outlineLevel="0" collapsed="false">
      <c r="A6" s="2" t="n">
        <v>5</v>
      </c>
      <c r="B6" s="3" t="s">
        <v>57</v>
      </c>
      <c r="C6" s="4" t="s">
        <v>58</v>
      </c>
      <c r="D6" s="4" t="s">
        <v>16</v>
      </c>
      <c r="E6" s="3" t="s">
        <v>59</v>
      </c>
      <c r="F6" s="3" t="s">
        <v>49</v>
      </c>
      <c r="G6" s="4" t="s">
        <v>50</v>
      </c>
      <c r="H6" s="4" t="s">
        <v>20</v>
      </c>
      <c r="I6" s="9" t="s">
        <v>51</v>
      </c>
      <c r="J6" s="10" t="s">
        <v>52</v>
      </c>
      <c r="K6" s="3" t="s">
        <v>53</v>
      </c>
      <c r="L6" s="3" t="s">
        <v>54</v>
      </c>
      <c r="M6" s="4" t="s">
        <v>55</v>
      </c>
      <c r="N6" s="3" t="s">
        <v>56</v>
      </c>
    </row>
    <row r="7" customFormat="false" ht="35.05" hidden="false" customHeight="false" outlineLevel="0" collapsed="false">
      <c r="A7" s="2" t="n">
        <v>6</v>
      </c>
      <c r="B7" s="3" t="s">
        <v>60</v>
      </c>
      <c r="C7" s="4" t="s">
        <v>61</v>
      </c>
      <c r="D7" s="4" t="s">
        <v>16</v>
      </c>
      <c r="E7" s="3" t="s">
        <v>62</v>
      </c>
      <c r="F7" s="3" t="s">
        <v>49</v>
      </c>
      <c r="G7" s="4" t="s">
        <v>50</v>
      </c>
      <c r="H7" s="4" t="s">
        <v>20</v>
      </c>
      <c r="I7" s="9" t="s">
        <v>51</v>
      </c>
      <c r="J7" s="10" t="s">
        <v>52</v>
      </c>
      <c r="K7" s="3" t="s">
        <v>53</v>
      </c>
      <c r="L7" s="3" t="s">
        <v>54</v>
      </c>
      <c r="M7" s="4" t="s">
        <v>55</v>
      </c>
      <c r="N7" s="3" t="s">
        <v>56</v>
      </c>
    </row>
    <row r="8" customFormat="false" ht="35.05" hidden="false" customHeight="false" outlineLevel="0" collapsed="false">
      <c r="A8" s="2" t="n">
        <v>7</v>
      </c>
      <c r="B8" s="3" t="s">
        <v>63</v>
      </c>
      <c r="C8" s="4" t="s">
        <v>47</v>
      </c>
      <c r="D8" s="4" t="s">
        <v>16</v>
      </c>
      <c r="E8" s="3" t="s">
        <v>64</v>
      </c>
      <c r="F8" s="3" t="s">
        <v>49</v>
      </c>
      <c r="G8" s="4" t="s">
        <v>50</v>
      </c>
      <c r="H8" s="4" t="s">
        <v>20</v>
      </c>
      <c r="I8" s="9" t="s">
        <v>51</v>
      </c>
      <c r="J8" s="10" t="s">
        <v>52</v>
      </c>
      <c r="K8" s="3" t="s">
        <v>53</v>
      </c>
      <c r="L8" s="3" t="s">
        <v>54</v>
      </c>
      <c r="M8" s="4" t="s">
        <v>55</v>
      </c>
      <c r="N8" s="3" t="s">
        <v>56</v>
      </c>
    </row>
    <row r="9" customFormat="false" ht="35.05" hidden="false" customHeight="false" outlineLevel="0" collapsed="false">
      <c r="A9" s="2" t="n">
        <v>8</v>
      </c>
      <c r="B9" s="3" t="s">
        <v>65</v>
      </c>
      <c r="C9" s="4" t="s">
        <v>66</v>
      </c>
      <c r="D9" s="4" t="s">
        <v>16</v>
      </c>
      <c r="E9" s="3" t="s">
        <v>67</v>
      </c>
      <c r="F9" s="3" t="s">
        <v>49</v>
      </c>
      <c r="G9" s="4" t="s">
        <v>50</v>
      </c>
      <c r="H9" s="4" t="s">
        <v>20</v>
      </c>
      <c r="I9" s="9" t="s">
        <v>51</v>
      </c>
      <c r="J9" s="10" t="s">
        <v>52</v>
      </c>
      <c r="K9" s="3" t="s">
        <v>53</v>
      </c>
      <c r="L9" s="3" t="s">
        <v>54</v>
      </c>
      <c r="M9" s="4" t="s">
        <v>55</v>
      </c>
      <c r="N9" s="3" t="s">
        <v>56</v>
      </c>
    </row>
    <row r="10" customFormat="false" ht="35.05" hidden="false" customHeight="false" outlineLevel="0" collapsed="false">
      <c r="A10" s="2" t="n">
        <v>9</v>
      </c>
      <c r="B10" s="3" t="s">
        <v>68</v>
      </c>
      <c r="C10" s="4" t="s">
        <v>69</v>
      </c>
      <c r="D10" s="4" t="s">
        <v>16</v>
      </c>
      <c r="E10" s="3" t="s">
        <v>70</v>
      </c>
      <c r="F10" s="3" t="s">
        <v>49</v>
      </c>
      <c r="G10" s="4" t="s">
        <v>50</v>
      </c>
      <c r="H10" s="4" t="s">
        <v>20</v>
      </c>
      <c r="I10" s="9" t="s">
        <v>51</v>
      </c>
      <c r="J10" s="10" t="s">
        <v>52</v>
      </c>
      <c r="K10" s="3" t="s">
        <v>53</v>
      </c>
      <c r="L10" s="3" t="s">
        <v>54</v>
      </c>
      <c r="M10" s="4" t="s">
        <v>55</v>
      </c>
      <c r="N10" s="3" t="s">
        <v>56</v>
      </c>
    </row>
    <row r="11" customFormat="false" ht="35.05" hidden="false" customHeight="false" outlineLevel="0" collapsed="false">
      <c r="A11" s="2" t="n">
        <v>10</v>
      </c>
      <c r="B11" s="3" t="s">
        <v>71</v>
      </c>
      <c r="C11" s="4" t="s">
        <v>72</v>
      </c>
      <c r="D11" s="4" t="s">
        <v>16</v>
      </c>
      <c r="E11" s="3" t="s">
        <v>73</v>
      </c>
      <c r="F11" s="3" t="s">
        <v>49</v>
      </c>
      <c r="G11" s="4" t="s">
        <v>50</v>
      </c>
      <c r="H11" s="4" t="s">
        <v>20</v>
      </c>
      <c r="I11" s="9" t="s">
        <v>51</v>
      </c>
      <c r="J11" s="10" t="s">
        <v>52</v>
      </c>
      <c r="K11" s="3" t="s">
        <v>53</v>
      </c>
      <c r="L11" s="3" t="s">
        <v>54</v>
      </c>
      <c r="M11" s="4" t="s">
        <v>55</v>
      </c>
      <c r="N11" s="3" t="s">
        <v>56</v>
      </c>
    </row>
    <row r="12" customFormat="false" ht="35.05" hidden="false" customHeight="false" outlineLevel="0" collapsed="false">
      <c r="A12" s="2" t="n">
        <v>11</v>
      </c>
      <c r="B12" s="3" t="s">
        <v>74</v>
      </c>
      <c r="C12" s="4" t="s">
        <v>75</v>
      </c>
      <c r="D12" s="4" t="s">
        <v>16</v>
      </c>
      <c r="E12" s="3" t="s">
        <v>76</v>
      </c>
      <c r="F12" s="3" t="s">
        <v>49</v>
      </c>
      <c r="G12" s="4" t="s">
        <v>50</v>
      </c>
      <c r="H12" s="4" t="s">
        <v>20</v>
      </c>
      <c r="I12" s="9" t="s">
        <v>51</v>
      </c>
      <c r="J12" s="10" t="s">
        <v>52</v>
      </c>
      <c r="K12" s="3" t="s">
        <v>53</v>
      </c>
      <c r="L12" s="3" t="s">
        <v>54</v>
      </c>
      <c r="M12" s="4" t="s">
        <v>55</v>
      </c>
      <c r="N12" s="3" t="s">
        <v>56</v>
      </c>
    </row>
    <row r="13" customFormat="false" ht="35.05" hidden="false" customHeight="false" outlineLevel="0" collapsed="false">
      <c r="A13" s="2" t="n">
        <v>12</v>
      </c>
      <c r="B13" s="3" t="s">
        <v>77</v>
      </c>
      <c r="C13" s="4" t="s">
        <v>78</v>
      </c>
      <c r="D13" s="4" t="s">
        <v>16</v>
      </c>
      <c r="E13" s="3" t="s">
        <v>79</v>
      </c>
      <c r="F13" s="3" t="s">
        <v>49</v>
      </c>
      <c r="G13" s="4" t="s">
        <v>50</v>
      </c>
      <c r="H13" s="4" t="s">
        <v>20</v>
      </c>
      <c r="I13" s="9" t="s">
        <v>51</v>
      </c>
      <c r="J13" s="10" t="s">
        <v>52</v>
      </c>
      <c r="K13" s="3" t="s">
        <v>53</v>
      </c>
      <c r="L13" s="3" t="s">
        <v>54</v>
      </c>
      <c r="M13" s="4" t="s">
        <v>55</v>
      </c>
      <c r="N13" s="3" t="s">
        <v>56</v>
      </c>
    </row>
    <row r="14" customFormat="false" ht="35.05" hidden="false" customHeight="false" outlineLevel="0" collapsed="false">
      <c r="A14" s="2" t="n">
        <v>13</v>
      </c>
      <c r="B14" s="3" t="s">
        <v>80</v>
      </c>
      <c r="C14" s="4" t="s">
        <v>81</v>
      </c>
      <c r="D14" s="4" t="s">
        <v>16</v>
      </c>
      <c r="E14" s="3" t="s">
        <v>82</v>
      </c>
      <c r="F14" s="3" t="s">
        <v>49</v>
      </c>
      <c r="G14" s="4" t="s">
        <v>50</v>
      </c>
      <c r="H14" s="4" t="s">
        <v>20</v>
      </c>
      <c r="I14" s="9" t="s">
        <v>51</v>
      </c>
      <c r="J14" s="10" t="s">
        <v>52</v>
      </c>
      <c r="K14" s="3" t="s">
        <v>53</v>
      </c>
      <c r="L14" s="3" t="s">
        <v>54</v>
      </c>
      <c r="M14" s="4" t="s">
        <v>55</v>
      </c>
      <c r="N14" s="3" t="s">
        <v>56</v>
      </c>
    </row>
    <row r="15" customFormat="false" ht="35.05" hidden="false" customHeight="false" outlineLevel="0" collapsed="false">
      <c r="A15" s="2" t="n">
        <v>14</v>
      </c>
      <c r="B15" s="3" t="s">
        <v>83</v>
      </c>
      <c r="C15" s="4" t="s">
        <v>84</v>
      </c>
      <c r="D15" s="4" t="s">
        <v>16</v>
      </c>
      <c r="E15" s="3" t="s">
        <v>85</v>
      </c>
      <c r="F15" s="3" t="s">
        <v>49</v>
      </c>
      <c r="G15" s="4" t="s">
        <v>50</v>
      </c>
      <c r="H15" s="4" t="s">
        <v>20</v>
      </c>
      <c r="I15" s="9" t="s">
        <v>51</v>
      </c>
      <c r="J15" s="10" t="s">
        <v>52</v>
      </c>
      <c r="K15" s="3" t="s">
        <v>53</v>
      </c>
      <c r="L15" s="3" t="s">
        <v>54</v>
      </c>
      <c r="M15" s="4" t="s">
        <v>55</v>
      </c>
      <c r="N15" s="3" t="s">
        <v>56</v>
      </c>
    </row>
    <row r="16" customFormat="false" ht="35.05" hidden="false" customHeight="false" outlineLevel="0" collapsed="false">
      <c r="A16" s="2" t="n">
        <v>15</v>
      </c>
      <c r="B16" s="3" t="s">
        <v>86</v>
      </c>
      <c r="C16" s="4" t="s">
        <v>84</v>
      </c>
      <c r="D16" s="4" t="s">
        <v>16</v>
      </c>
      <c r="E16" s="3" t="s">
        <v>87</v>
      </c>
      <c r="F16" s="3" t="s">
        <v>49</v>
      </c>
      <c r="G16" s="4" t="s">
        <v>50</v>
      </c>
      <c r="H16" s="4" t="s">
        <v>20</v>
      </c>
      <c r="I16" s="9" t="s">
        <v>51</v>
      </c>
      <c r="J16" s="10" t="s">
        <v>52</v>
      </c>
      <c r="K16" s="3" t="s">
        <v>53</v>
      </c>
      <c r="L16" s="3" t="s">
        <v>54</v>
      </c>
      <c r="M16" s="4" t="s">
        <v>55</v>
      </c>
      <c r="N16" s="3" t="s">
        <v>56</v>
      </c>
    </row>
    <row r="17" customFormat="false" ht="35.05" hidden="false" customHeight="false" outlineLevel="0" collapsed="false">
      <c r="A17" s="2" t="n">
        <v>16</v>
      </c>
      <c r="B17" s="3" t="s">
        <v>88</v>
      </c>
      <c r="C17" s="4" t="s">
        <v>84</v>
      </c>
      <c r="D17" s="4" t="s">
        <v>16</v>
      </c>
      <c r="E17" s="3" t="s">
        <v>89</v>
      </c>
      <c r="F17" s="3" t="s">
        <v>49</v>
      </c>
      <c r="G17" s="4" t="s">
        <v>50</v>
      </c>
      <c r="H17" s="4" t="s">
        <v>20</v>
      </c>
      <c r="I17" s="9" t="s">
        <v>51</v>
      </c>
      <c r="J17" s="10" t="s">
        <v>52</v>
      </c>
      <c r="K17" s="3" t="s">
        <v>53</v>
      </c>
      <c r="L17" s="3" t="s">
        <v>54</v>
      </c>
      <c r="M17" s="4" t="s">
        <v>55</v>
      </c>
      <c r="N17" s="3" t="s">
        <v>56</v>
      </c>
    </row>
    <row r="18" customFormat="false" ht="35.05" hidden="false" customHeight="false" outlineLevel="0" collapsed="false">
      <c r="A18" s="2" t="n">
        <v>17</v>
      </c>
      <c r="B18" s="3" t="s">
        <v>90</v>
      </c>
      <c r="C18" s="4" t="s">
        <v>91</v>
      </c>
      <c r="D18" s="4" t="s">
        <v>16</v>
      </c>
      <c r="E18" s="3" t="s">
        <v>92</v>
      </c>
      <c r="F18" s="3" t="s">
        <v>49</v>
      </c>
      <c r="G18" s="4" t="s">
        <v>50</v>
      </c>
      <c r="H18" s="4" t="s">
        <v>20</v>
      </c>
      <c r="I18" s="9" t="s">
        <v>51</v>
      </c>
      <c r="J18" s="10" t="s">
        <v>52</v>
      </c>
      <c r="K18" s="3" t="s">
        <v>53</v>
      </c>
      <c r="L18" s="3" t="s">
        <v>54</v>
      </c>
      <c r="M18" s="4" t="s">
        <v>55</v>
      </c>
      <c r="N18" s="3" t="s">
        <v>56</v>
      </c>
    </row>
    <row r="19" customFormat="false" ht="35.05" hidden="false" customHeight="false" outlineLevel="0" collapsed="false">
      <c r="A19" s="2" t="n">
        <v>18</v>
      </c>
      <c r="B19" s="3" t="s">
        <v>93</v>
      </c>
      <c r="C19" s="4" t="s">
        <v>94</v>
      </c>
      <c r="D19" s="4" t="s">
        <v>16</v>
      </c>
      <c r="E19" s="3" t="s">
        <v>95</v>
      </c>
      <c r="F19" s="3" t="s">
        <v>49</v>
      </c>
      <c r="G19" s="4" t="s">
        <v>50</v>
      </c>
      <c r="H19" s="4" t="s">
        <v>20</v>
      </c>
      <c r="I19" s="9" t="s">
        <v>51</v>
      </c>
      <c r="J19" s="10" t="s">
        <v>52</v>
      </c>
      <c r="K19" s="3" t="s">
        <v>53</v>
      </c>
      <c r="L19" s="3" t="s">
        <v>54</v>
      </c>
      <c r="M19" s="4" t="s">
        <v>55</v>
      </c>
      <c r="N19" s="3" t="s">
        <v>56</v>
      </c>
    </row>
    <row r="20" customFormat="false" ht="35.05" hidden="false" customHeight="false" outlineLevel="0" collapsed="false">
      <c r="A20" s="2" t="n">
        <v>19</v>
      </c>
      <c r="B20" s="3" t="s">
        <v>96</v>
      </c>
      <c r="C20" s="4" t="s">
        <v>97</v>
      </c>
      <c r="D20" s="4" t="s">
        <v>16</v>
      </c>
      <c r="E20" s="3" t="s">
        <v>98</v>
      </c>
      <c r="F20" s="3" t="s">
        <v>49</v>
      </c>
      <c r="G20" s="4" t="s">
        <v>50</v>
      </c>
      <c r="H20" s="4" t="s">
        <v>20</v>
      </c>
      <c r="I20" s="9" t="s">
        <v>51</v>
      </c>
      <c r="J20" s="10" t="s">
        <v>52</v>
      </c>
      <c r="K20" s="3" t="s">
        <v>53</v>
      </c>
      <c r="L20" s="3" t="s">
        <v>54</v>
      </c>
      <c r="M20" s="4" t="s">
        <v>55</v>
      </c>
      <c r="N20" s="3" t="s">
        <v>56</v>
      </c>
    </row>
    <row r="21" customFormat="false" ht="35.05" hidden="false" customHeight="false" outlineLevel="0" collapsed="false">
      <c r="A21" s="2" t="n">
        <v>20</v>
      </c>
      <c r="B21" s="3" t="s">
        <v>99</v>
      </c>
      <c r="C21" s="4" t="s">
        <v>100</v>
      </c>
      <c r="D21" s="4" t="s">
        <v>16</v>
      </c>
      <c r="E21" s="3" t="s">
        <v>101</v>
      </c>
      <c r="F21" s="3" t="s">
        <v>49</v>
      </c>
      <c r="G21" s="4" t="s">
        <v>50</v>
      </c>
      <c r="H21" s="4" t="s">
        <v>20</v>
      </c>
      <c r="I21" s="9" t="s">
        <v>51</v>
      </c>
      <c r="J21" s="10" t="s">
        <v>52</v>
      </c>
      <c r="K21" s="3" t="s">
        <v>53</v>
      </c>
      <c r="L21" s="3" t="s">
        <v>54</v>
      </c>
      <c r="M21" s="4" t="s">
        <v>55</v>
      </c>
      <c r="N21" s="3" t="s">
        <v>56</v>
      </c>
    </row>
    <row r="22" customFormat="false" ht="35.05" hidden="false" customHeight="false" outlineLevel="0" collapsed="false">
      <c r="A22" s="2" t="n">
        <v>21</v>
      </c>
      <c r="B22" s="3" t="s">
        <v>102</v>
      </c>
      <c r="C22" s="4" t="s">
        <v>103</v>
      </c>
      <c r="D22" s="4" t="s">
        <v>16</v>
      </c>
      <c r="E22" s="3" t="s">
        <v>104</v>
      </c>
      <c r="F22" s="3" t="s">
        <v>49</v>
      </c>
      <c r="G22" s="4" t="s">
        <v>50</v>
      </c>
      <c r="H22" s="4" t="s">
        <v>20</v>
      </c>
      <c r="I22" s="9" t="s">
        <v>51</v>
      </c>
      <c r="J22" s="10" t="s">
        <v>52</v>
      </c>
      <c r="K22" s="3" t="s">
        <v>53</v>
      </c>
      <c r="L22" s="3" t="s">
        <v>54</v>
      </c>
      <c r="M22" s="4" t="s">
        <v>55</v>
      </c>
      <c r="N22" s="3" t="s">
        <v>56</v>
      </c>
    </row>
    <row r="23" customFormat="false" ht="35.05" hidden="false" customHeight="false" outlineLevel="0" collapsed="false">
      <c r="A23" s="2" t="n">
        <v>22</v>
      </c>
      <c r="B23" s="3" t="s">
        <v>105</v>
      </c>
      <c r="C23" s="4" t="s">
        <v>106</v>
      </c>
      <c r="D23" s="4" t="s">
        <v>16</v>
      </c>
      <c r="E23" s="3" t="s">
        <v>107</v>
      </c>
      <c r="F23" s="3" t="s">
        <v>49</v>
      </c>
      <c r="G23" s="4" t="s">
        <v>50</v>
      </c>
      <c r="H23" s="4" t="s">
        <v>20</v>
      </c>
      <c r="I23" s="9" t="s">
        <v>51</v>
      </c>
      <c r="J23" s="10" t="s">
        <v>52</v>
      </c>
      <c r="K23" s="3" t="s">
        <v>53</v>
      </c>
      <c r="L23" s="3" t="s">
        <v>54</v>
      </c>
      <c r="M23" s="4" t="s">
        <v>55</v>
      </c>
      <c r="N23" s="3" t="s">
        <v>56</v>
      </c>
    </row>
    <row r="24" customFormat="false" ht="35.05" hidden="false" customHeight="false" outlineLevel="0" collapsed="false">
      <c r="A24" s="2" t="n">
        <v>23</v>
      </c>
      <c r="B24" s="3" t="s">
        <v>108</v>
      </c>
      <c r="C24" s="4" t="s">
        <v>109</v>
      </c>
      <c r="D24" s="4" t="s">
        <v>16</v>
      </c>
      <c r="E24" s="3" t="s">
        <v>110</v>
      </c>
      <c r="F24" s="3" t="s">
        <v>49</v>
      </c>
      <c r="G24" s="4" t="s">
        <v>50</v>
      </c>
      <c r="H24" s="4" t="s">
        <v>20</v>
      </c>
      <c r="I24" s="9" t="s">
        <v>51</v>
      </c>
      <c r="J24" s="10" t="s">
        <v>52</v>
      </c>
      <c r="K24" s="3" t="s">
        <v>53</v>
      </c>
      <c r="L24" s="3" t="s">
        <v>54</v>
      </c>
      <c r="M24" s="4" t="s">
        <v>55</v>
      </c>
      <c r="N24" s="3" t="s">
        <v>56</v>
      </c>
    </row>
    <row r="25" customFormat="false" ht="35.05" hidden="false" customHeight="false" outlineLevel="0" collapsed="false">
      <c r="A25" s="2" t="n">
        <v>24</v>
      </c>
      <c r="B25" s="3" t="s">
        <v>111</v>
      </c>
      <c r="C25" s="4" t="s">
        <v>112</v>
      </c>
      <c r="D25" s="4" t="s">
        <v>16</v>
      </c>
      <c r="E25" s="3" t="s">
        <v>113</v>
      </c>
      <c r="F25" s="3" t="s">
        <v>49</v>
      </c>
      <c r="G25" s="4" t="s">
        <v>50</v>
      </c>
      <c r="H25" s="4" t="s">
        <v>20</v>
      </c>
      <c r="I25" s="9" t="s">
        <v>51</v>
      </c>
      <c r="J25" s="10" t="s">
        <v>52</v>
      </c>
      <c r="K25" s="3" t="s">
        <v>53</v>
      </c>
      <c r="L25" s="3" t="s">
        <v>54</v>
      </c>
      <c r="M25" s="4" t="s">
        <v>55</v>
      </c>
      <c r="N25" s="3" t="s">
        <v>56</v>
      </c>
    </row>
    <row r="26" customFormat="false" ht="35.05" hidden="false" customHeight="false" outlineLevel="0" collapsed="false">
      <c r="A26" s="2" t="n">
        <v>25</v>
      </c>
      <c r="B26" s="3" t="s">
        <v>114</v>
      </c>
      <c r="C26" s="4" t="s">
        <v>115</v>
      </c>
      <c r="D26" s="4" t="s">
        <v>16</v>
      </c>
      <c r="E26" s="3" t="s">
        <v>116</v>
      </c>
      <c r="F26" s="3" t="s">
        <v>49</v>
      </c>
      <c r="G26" s="4" t="s">
        <v>50</v>
      </c>
      <c r="H26" s="4" t="s">
        <v>20</v>
      </c>
      <c r="I26" s="9" t="s">
        <v>51</v>
      </c>
      <c r="J26" s="10" t="s">
        <v>52</v>
      </c>
      <c r="K26" s="3" t="s">
        <v>53</v>
      </c>
      <c r="L26" s="3" t="s">
        <v>54</v>
      </c>
      <c r="M26" s="4" t="s">
        <v>55</v>
      </c>
      <c r="N26" s="3" t="s">
        <v>56</v>
      </c>
    </row>
    <row r="27" customFormat="false" ht="46.25" hidden="false" customHeight="false" outlineLevel="0" collapsed="false">
      <c r="A27" s="2" t="n">
        <v>26</v>
      </c>
      <c r="B27" s="3" t="s">
        <v>117</v>
      </c>
      <c r="C27" s="4" t="s">
        <v>118</v>
      </c>
      <c r="D27" s="4" t="s">
        <v>16</v>
      </c>
      <c r="E27" s="3" t="s">
        <v>119</v>
      </c>
      <c r="F27" s="3" t="s">
        <v>120</v>
      </c>
      <c r="G27" s="4" t="s">
        <v>121</v>
      </c>
      <c r="H27" s="4" t="s">
        <v>20</v>
      </c>
      <c r="I27" s="11" t="s">
        <v>122</v>
      </c>
      <c r="J27" s="12" t="s">
        <v>123</v>
      </c>
      <c r="K27" s="3" t="s">
        <v>53</v>
      </c>
      <c r="L27" s="3" t="s">
        <v>124</v>
      </c>
      <c r="M27" s="4" t="s">
        <v>125</v>
      </c>
      <c r="N27" s="3" t="s">
        <v>126</v>
      </c>
    </row>
    <row r="28" customFormat="false" ht="35.05" hidden="false" customHeight="false" outlineLevel="0" collapsed="false">
      <c r="A28" s="2" t="n">
        <v>27</v>
      </c>
      <c r="B28" s="3" t="s">
        <v>127</v>
      </c>
      <c r="C28" s="4" t="s">
        <v>128</v>
      </c>
      <c r="D28" s="4" t="s">
        <v>16</v>
      </c>
      <c r="E28" s="3" t="s">
        <v>129</v>
      </c>
      <c r="F28" s="3" t="s">
        <v>130</v>
      </c>
      <c r="G28" s="4" t="s">
        <v>131</v>
      </c>
      <c r="H28" s="4" t="s">
        <v>132</v>
      </c>
      <c r="I28" s="13" t="s">
        <v>133</v>
      </c>
      <c r="J28" s="14" t="s">
        <v>134</v>
      </c>
      <c r="K28" s="3" t="s">
        <v>53</v>
      </c>
      <c r="L28" s="3" t="s">
        <v>135</v>
      </c>
      <c r="M28" s="4" t="s">
        <v>136</v>
      </c>
      <c r="N28" s="3" t="s">
        <v>137</v>
      </c>
    </row>
    <row r="29" customFormat="false" ht="46.25" hidden="false" customHeight="false" outlineLevel="0" collapsed="false">
      <c r="A29" s="2" t="n">
        <v>28</v>
      </c>
      <c r="B29" s="3" t="s">
        <v>138</v>
      </c>
      <c r="C29" s="4" t="s">
        <v>36</v>
      </c>
      <c r="D29" s="4" t="s">
        <v>139</v>
      </c>
      <c r="E29" s="3" t="s">
        <v>140</v>
      </c>
      <c r="F29" s="3" t="s">
        <v>141</v>
      </c>
      <c r="G29" s="4" t="s">
        <v>142</v>
      </c>
      <c r="H29" s="4" t="s">
        <v>143</v>
      </c>
      <c r="I29" s="15" t="s">
        <v>144</v>
      </c>
      <c r="J29" s="16" t="s">
        <v>145</v>
      </c>
      <c r="K29" s="3" t="s">
        <v>53</v>
      </c>
      <c r="L29" s="3" t="s">
        <v>146</v>
      </c>
      <c r="M29" s="4" t="s">
        <v>147</v>
      </c>
      <c r="N29" s="3" t="s">
        <v>148</v>
      </c>
    </row>
    <row r="30" customFormat="false" ht="46.25" hidden="false" customHeight="false" outlineLevel="0" collapsed="false">
      <c r="A30" s="2" t="n">
        <v>29</v>
      </c>
      <c r="B30" s="3" t="s">
        <v>149</v>
      </c>
      <c r="C30" s="4" t="s">
        <v>150</v>
      </c>
      <c r="D30" s="4" t="s">
        <v>139</v>
      </c>
      <c r="E30" s="3" t="s">
        <v>151</v>
      </c>
      <c r="F30" s="3" t="s">
        <v>141</v>
      </c>
      <c r="G30" s="4" t="s">
        <v>142</v>
      </c>
      <c r="H30" s="4" t="s">
        <v>143</v>
      </c>
      <c r="I30" s="15" t="s">
        <v>144</v>
      </c>
      <c r="J30" s="16" t="s">
        <v>145</v>
      </c>
      <c r="K30" s="3" t="s">
        <v>53</v>
      </c>
      <c r="L30" s="3" t="s">
        <v>146</v>
      </c>
      <c r="M30" s="4" t="s">
        <v>147</v>
      </c>
      <c r="N30" s="3" t="s">
        <v>148</v>
      </c>
    </row>
    <row r="31" customFormat="false" ht="46.25" hidden="false" customHeight="false" outlineLevel="0" collapsed="false">
      <c r="A31" s="2" t="n">
        <v>30</v>
      </c>
      <c r="B31" s="3" t="s">
        <v>152</v>
      </c>
      <c r="C31" s="4" t="s">
        <v>153</v>
      </c>
      <c r="D31" s="4" t="s">
        <v>139</v>
      </c>
      <c r="E31" s="3" t="s">
        <v>154</v>
      </c>
      <c r="F31" s="3" t="s">
        <v>141</v>
      </c>
      <c r="G31" s="4" t="s">
        <v>142</v>
      </c>
      <c r="H31" s="4" t="s">
        <v>143</v>
      </c>
      <c r="I31" s="15" t="s">
        <v>144</v>
      </c>
      <c r="J31" s="16" t="s">
        <v>145</v>
      </c>
      <c r="K31" s="3" t="s">
        <v>53</v>
      </c>
      <c r="L31" s="3" t="s">
        <v>146</v>
      </c>
      <c r="M31" s="4" t="s">
        <v>147</v>
      </c>
      <c r="N31" s="3" t="s">
        <v>148</v>
      </c>
    </row>
    <row r="32" customFormat="false" ht="46.25" hidden="false" customHeight="false" outlineLevel="0" collapsed="false">
      <c r="A32" s="2" t="n">
        <v>31</v>
      </c>
      <c r="B32" s="3" t="s">
        <v>155</v>
      </c>
      <c r="C32" s="4" t="s">
        <v>156</v>
      </c>
      <c r="D32" s="4" t="s">
        <v>157</v>
      </c>
      <c r="E32" s="3" t="s">
        <v>158</v>
      </c>
      <c r="F32" s="3" t="s">
        <v>141</v>
      </c>
      <c r="G32" s="4" t="s">
        <v>142</v>
      </c>
      <c r="H32" s="4" t="s">
        <v>143</v>
      </c>
      <c r="I32" s="15" t="s">
        <v>144</v>
      </c>
      <c r="J32" s="16" t="s">
        <v>145</v>
      </c>
      <c r="K32" s="3" t="s">
        <v>53</v>
      </c>
      <c r="L32" s="3" t="s">
        <v>146</v>
      </c>
      <c r="M32" s="4" t="s">
        <v>147</v>
      </c>
      <c r="N32" s="3" t="s">
        <v>148</v>
      </c>
    </row>
    <row r="33" customFormat="false" ht="46.25" hidden="false" customHeight="false" outlineLevel="0" collapsed="false">
      <c r="A33" s="2" t="n">
        <v>32</v>
      </c>
      <c r="B33" s="3" t="s">
        <v>159</v>
      </c>
      <c r="C33" s="4" t="s">
        <v>160</v>
      </c>
      <c r="D33" s="4" t="s">
        <v>161</v>
      </c>
      <c r="E33" s="3" t="s">
        <v>162</v>
      </c>
      <c r="F33" s="3" t="s">
        <v>141</v>
      </c>
      <c r="G33" s="4" t="s">
        <v>142</v>
      </c>
      <c r="H33" s="4" t="s">
        <v>143</v>
      </c>
      <c r="I33" s="15" t="s">
        <v>144</v>
      </c>
      <c r="J33" s="16" t="s">
        <v>145</v>
      </c>
      <c r="K33" s="3" t="s">
        <v>53</v>
      </c>
      <c r="L33" s="3" t="s">
        <v>146</v>
      </c>
      <c r="M33" s="4" t="s">
        <v>147</v>
      </c>
      <c r="N33" s="3" t="s">
        <v>148</v>
      </c>
    </row>
    <row r="34" customFormat="false" ht="35.05" hidden="false" customHeight="false" outlineLevel="0" collapsed="false">
      <c r="A34" s="2" t="n">
        <v>33</v>
      </c>
      <c r="B34" s="3" t="s">
        <v>163</v>
      </c>
      <c r="C34" s="4" t="s">
        <v>164</v>
      </c>
      <c r="D34" s="4" t="s">
        <v>165</v>
      </c>
      <c r="E34" s="3" t="s">
        <v>166</v>
      </c>
      <c r="F34" s="3" t="s">
        <v>167</v>
      </c>
      <c r="G34" s="4" t="s">
        <v>168</v>
      </c>
      <c r="H34" s="4" t="s">
        <v>169</v>
      </c>
      <c r="I34" s="15" t="s">
        <v>170</v>
      </c>
      <c r="J34" s="16" t="s">
        <v>145</v>
      </c>
      <c r="K34" s="3" t="s">
        <v>53</v>
      </c>
      <c r="L34" s="3" t="s">
        <v>171</v>
      </c>
      <c r="M34" s="4" t="s">
        <v>172</v>
      </c>
      <c r="N34" s="3" t="s">
        <v>173</v>
      </c>
    </row>
    <row r="35" customFormat="false" ht="46.25" hidden="false" customHeight="false" outlineLevel="0" collapsed="false">
      <c r="A35" s="2" t="n">
        <v>34</v>
      </c>
      <c r="B35" s="3" t="s">
        <v>174</v>
      </c>
      <c r="C35" s="4" t="s">
        <v>175</v>
      </c>
      <c r="D35" s="4" t="s">
        <v>176</v>
      </c>
      <c r="E35" s="3" t="s">
        <v>177</v>
      </c>
      <c r="F35" s="3" t="s">
        <v>178</v>
      </c>
      <c r="G35" s="4" t="s">
        <v>179</v>
      </c>
      <c r="H35" s="4" t="s">
        <v>180</v>
      </c>
      <c r="I35" s="17" t="s">
        <v>181</v>
      </c>
      <c r="J35" s="18" t="s">
        <v>182</v>
      </c>
      <c r="K35" s="3" t="s">
        <v>183</v>
      </c>
      <c r="L35" s="3" t="s">
        <v>184</v>
      </c>
      <c r="M35" s="4" t="s">
        <v>185</v>
      </c>
      <c r="N35" s="3" t="s">
        <v>186</v>
      </c>
    </row>
    <row r="36" customFormat="false" ht="35.05" hidden="false" customHeight="false" outlineLevel="0" collapsed="false">
      <c r="A36" s="2" t="n">
        <v>35</v>
      </c>
      <c r="B36" s="3" t="s">
        <v>187</v>
      </c>
      <c r="C36" s="4" t="s">
        <v>175</v>
      </c>
      <c r="D36" s="4" t="s">
        <v>176</v>
      </c>
      <c r="E36" s="3" t="s">
        <v>188</v>
      </c>
      <c r="F36" s="3" t="s">
        <v>189</v>
      </c>
      <c r="G36" s="4" t="s">
        <v>190</v>
      </c>
      <c r="H36" s="4" t="s">
        <v>191</v>
      </c>
      <c r="I36" s="17" t="s">
        <v>192</v>
      </c>
      <c r="J36" s="18" t="s">
        <v>182</v>
      </c>
      <c r="K36" s="3" t="s">
        <v>193</v>
      </c>
      <c r="L36" s="3" t="s">
        <v>194</v>
      </c>
      <c r="M36" s="4" t="s">
        <v>195</v>
      </c>
      <c r="N36" s="3" t="s">
        <v>196</v>
      </c>
    </row>
    <row r="37" customFormat="false" ht="35.05" hidden="false" customHeight="false" outlineLevel="0" collapsed="false">
      <c r="A37" s="2" t="n">
        <v>36</v>
      </c>
      <c r="B37" s="3" t="s">
        <v>197</v>
      </c>
      <c r="C37" s="4" t="s">
        <v>175</v>
      </c>
      <c r="D37" s="4" t="s">
        <v>198</v>
      </c>
      <c r="E37" s="3" t="s">
        <v>199</v>
      </c>
      <c r="F37" s="3" t="s">
        <v>200</v>
      </c>
      <c r="G37" s="4" t="s">
        <v>190</v>
      </c>
      <c r="H37" s="4" t="s">
        <v>201</v>
      </c>
      <c r="I37" s="17" t="s">
        <v>202</v>
      </c>
      <c r="J37" s="18" t="s">
        <v>182</v>
      </c>
      <c r="K37" s="3" t="s">
        <v>203</v>
      </c>
      <c r="L37" s="3" t="s">
        <v>204</v>
      </c>
      <c r="M37" s="4" t="s">
        <v>205</v>
      </c>
      <c r="N37" s="3" t="s">
        <v>131</v>
      </c>
    </row>
  </sheetData>
  <autoFilter ref="A1:N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8"/>
  </cols>
  <sheetData>
    <row r="1" customFormat="false" ht="16.15" hidden="false" customHeight="false" outlineLevel="0" collapsed="false">
      <c r="A1" s="19" t="s">
        <v>206</v>
      </c>
      <c r="B1" s="19"/>
    </row>
    <row r="2" customFormat="false" ht="15" hidden="false" customHeight="false" outlineLevel="0" collapsed="false">
      <c r="A2" s="20" t="s">
        <v>207</v>
      </c>
    </row>
    <row r="4" customFormat="false" ht="15" hidden="false" customHeight="false" outlineLevel="0" collapsed="false">
      <c r="A4" s="21" t="s">
        <v>208</v>
      </c>
      <c r="B4" s="21" t="s">
        <v>209</v>
      </c>
    </row>
    <row r="5" customFormat="false" ht="15" hidden="false" customHeight="false" outlineLevel="0" collapsed="false">
      <c r="A5" s="22" t="s">
        <v>210</v>
      </c>
      <c r="B5" s="23" t="n">
        <f aca="false">COUNTA('Scope Tracker'!$A$2:$A$37)</f>
        <v>36</v>
      </c>
    </row>
    <row r="6" customFormat="false" ht="15" hidden="false" customHeight="false" outlineLevel="0" collapsed="false">
      <c r="A6" s="24" t="s">
        <v>211</v>
      </c>
      <c r="B6" s="25" t="n">
        <f aca="false">COUNTIF('Scope Tracker'!$J$2:$J$37,"AWARDED")</f>
        <v>2</v>
      </c>
    </row>
    <row r="7" customFormat="false" ht="15" hidden="false" customHeight="false" outlineLevel="0" collapsed="false">
      <c r="A7" s="26" t="s">
        <v>212</v>
      </c>
      <c r="B7" s="27" t="n">
        <f aca="false">COUNTIF('Scope Tracker'!$J$2:$J$37,"NOT-EVALUATED")</f>
        <v>22</v>
      </c>
    </row>
    <row r="8" customFormat="false" ht="15" hidden="false" customHeight="false" outlineLevel="0" collapsed="false">
      <c r="A8" s="28" t="s">
        <v>213</v>
      </c>
      <c r="B8" s="29" t="n">
        <f aca="false">COUNTIF('Scope Tracker'!$J$2:$J$37,"EXCLUDED-PRIOR")</f>
        <v>1</v>
      </c>
    </row>
    <row r="9" customFormat="false" ht="15" hidden="false" customHeight="false" outlineLevel="0" collapsed="false">
      <c r="A9" s="30" t="s">
        <v>214</v>
      </c>
      <c r="B9" s="31" t="n">
        <f aca="false">COUNTIF('Scope Tracker'!$J$2:$J$37,"DISPUTED-2020")</f>
        <v>1</v>
      </c>
    </row>
    <row r="10" customFormat="false" ht="15" hidden="false" customHeight="false" outlineLevel="0" collapsed="false">
      <c r="A10" s="32" t="s">
        <v>215</v>
      </c>
      <c r="B10" s="33" t="n">
        <f aca="false">COUNTIF('Scope Tracker'!$J$2:$J$37,"NEVER-INSPECTED")</f>
        <v>1</v>
      </c>
    </row>
    <row r="11" customFormat="false" ht="15" hidden="false" customHeight="false" outlineLevel="0" collapsed="false">
      <c r="A11" s="34" t="s">
        <v>216</v>
      </c>
      <c r="B11" s="35" t="n">
        <f aca="false">COUNTIF('Scope Tracker'!$J$2:$J$37,"NO-JURISDICTION")</f>
        <v>6</v>
      </c>
    </row>
    <row r="12" customFormat="false" ht="15" hidden="false" customHeight="false" outlineLevel="0" collapsed="false">
      <c r="A12" s="36" t="s">
        <v>217</v>
      </c>
      <c r="B12" s="37" t="n">
        <f aca="false">COUNTIF('Scope Tracker'!$J$2:$J$37,"EVALUATED-$0")</f>
        <v>3</v>
      </c>
    </row>
    <row r="14" customFormat="false" ht="15" hidden="false" customHeight="false" outlineLevel="0" collapsed="false">
      <c r="A14" s="38" t="s">
        <v>218</v>
      </c>
      <c r="B14" s="39" t="n">
        <f aca="false">COUNTIF('Scope Tracker'!$J$2:$J$37,"AWARDED")</f>
        <v>2</v>
      </c>
    </row>
    <row r="15" customFormat="false" ht="26.85" hidden="false" customHeight="false" outlineLevel="0" collapsed="false">
      <c r="A15" s="40" t="s">
        <v>219</v>
      </c>
    </row>
    <row r="17" customFormat="false" ht="15" hidden="false" customHeight="false" outlineLevel="0" collapsed="false">
      <c r="A17" s="41" t="s">
        <v>220</v>
      </c>
      <c r="B17" s="42"/>
    </row>
    <row r="18" customFormat="false" ht="15" hidden="false" customHeight="false" outlineLevel="0" collapsed="false">
      <c r="A18" s="22" t="s">
        <v>221</v>
      </c>
      <c r="B18" s="43" t="n">
        <f aca="false">886000*0.02</f>
        <v>17720</v>
      </c>
    </row>
    <row r="19" customFormat="false" ht="15" hidden="false" customHeight="false" outlineLevel="0" collapsed="false">
      <c r="A19" s="22" t="s">
        <v>222</v>
      </c>
      <c r="B19" s="43" t="n">
        <v>12800</v>
      </c>
    </row>
    <row r="20" customFormat="false" ht="15" hidden="false" customHeight="false" outlineLevel="0" collapsed="false">
      <c r="A20" s="22" t="s">
        <v>223</v>
      </c>
      <c r="B20" s="43" t="n">
        <v>6400</v>
      </c>
    </row>
    <row r="21" customFormat="false" ht="15" hidden="false" customHeight="false" outlineLevel="0" collapsed="false">
      <c r="A21" s="22" t="s">
        <v>224</v>
      </c>
      <c r="B21" s="44" t="n">
        <f aca="false">B18-B20</f>
        <v>11320</v>
      </c>
    </row>
    <row r="22" customFormat="false" ht="15" hidden="false" customHeight="false" outlineLevel="0" collapsed="false">
      <c r="A22" s="22" t="s">
        <v>225</v>
      </c>
      <c r="B22" s="43" t="n">
        <v>310000</v>
      </c>
    </row>
    <row r="24" customFormat="false" ht="35.05" hidden="false" customHeight="false" outlineLevel="0" collapsed="false">
      <c r="A24" s="45" t="s">
        <v>226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6.15" hidden="false" customHeight="false" outlineLevel="0" collapsed="false">
      <c r="A1" s="46" t="s">
        <v>227</v>
      </c>
    </row>
    <row r="2" customFormat="false" ht="39.55" hidden="false" customHeight="false" outlineLevel="0" collapsed="false">
      <c r="A2" s="47" t="s">
        <v>228</v>
      </c>
    </row>
    <row r="3" customFormat="false" ht="39.55" hidden="false" customHeight="false" outlineLevel="0" collapsed="false">
      <c r="A3" s="47" t="s">
        <v>229</v>
      </c>
    </row>
    <row r="4" customFormat="false" ht="39.55" hidden="false" customHeight="false" outlineLevel="0" collapsed="false">
      <c r="A4" s="47" t="s">
        <v>230</v>
      </c>
    </row>
    <row r="5" customFormat="false" ht="26.85" hidden="false" customHeight="false" outlineLevel="0" collapsed="false">
      <c r="A5" s="47" t="s">
        <v>231</v>
      </c>
    </row>
    <row r="7" customFormat="false" ht="15" hidden="false" customHeight="false" outlineLevel="0" collapsed="false">
      <c r="A7" s="48" t="s">
        <v>232</v>
      </c>
    </row>
    <row r="8" customFormat="false" ht="15" hidden="false" customHeight="false" outlineLevel="0" collapsed="false">
      <c r="A8" s="49" t="s">
        <v>233</v>
      </c>
    </row>
    <row r="9" customFormat="false" ht="15" hidden="false" customHeight="false" outlineLevel="0" collapsed="false">
      <c r="A9" s="50" t="s">
        <v>234</v>
      </c>
    </row>
    <row r="10" customFormat="false" ht="15" hidden="false" customHeight="false" outlineLevel="0" collapsed="false">
      <c r="A10" s="51" t="s">
        <v>235</v>
      </c>
    </row>
    <row r="11" customFormat="false" ht="15" hidden="false" customHeight="false" outlineLevel="0" collapsed="false">
      <c r="A11" s="52" t="s">
        <v>236</v>
      </c>
    </row>
    <row r="12" customFormat="false" ht="15" hidden="false" customHeight="false" outlineLevel="0" collapsed="false">
      <c r="A12" s="53" t="s">
        <v>237</v>
      </c>
    </row>
    <row r="13" customFormat="false" ht="15" hidden="false" customHeight="false" outlineLevel="0" collapsed="false">
      <c r="A13" s="54" t="s">
        <v>238</v>
      </c>
    </row>
    <row r="14" customFormat="false" ht="15" hidden="false" customHeight="false" outlineLevel="0" collapsed="false">
      <c r="A14" s="55" t="s">
        <v>239</v>
      </c>
    </row>
    <row r="16" customFormat="false" ht="15" hidden="false" customHeight="false" outlineLevel="0" collapsed="false">
      <c r="A16" s="56" t="s">
        <v>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2026-08-13T01:37:03Z</dcterms:created>
  <dc:creator>openpyxl</dc:creator>
  <dc:description/>
  <dc:language>en-US</dc:language>
  <cp:lastModifiedBy/>
  <dcterms:modified xsi:type="dcterms:W3CDTF">2026-08-13T01:37:03Z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